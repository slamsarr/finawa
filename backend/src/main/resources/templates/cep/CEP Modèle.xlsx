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d.docs.live.net/adeb0501fb6b100c/70 - PROJETS/CAMPAGNE CREDIT AVRIL 2026/Liste Campagne Financement Avril 2026/"/>
    </mc:Choice>
  </mc:AlternateContent>
  <xr:revisionPtr revIDLastSave="0" documentId="8_{D1AE514C-5405-4475-85DF-8033EED5C03F}" xr6:coauthVersionLast="47" xr6:coauthVersionMax="47" xr10:uidLastSave="{00000000-0000-0000-0000-000000000000}"/>
  <bookViews>
    <workbookView xWindow="-108" yWindow="-108" windowWidth="23256" windowHeight="12456" firstSheet="8" activeTab="8" xr2:uid="{00000000-000D-0000-FFFF-FFFF00000000}"/>
  </bookViews>
  <sheets>
    <sheet name="Landing Page" sheetId="15" r:id="rId1"/>
    <sheet name="Sommaire" sheetId="1" r:id="rId2"/>
    <sheet name="Checklist" sheetId="2" r:id="rId3"/>
    <sheet name="Hypotheses" sheetId="3" r:id="rId4"/>
    <sheet name="Estimation des autres charges" sheetId="4" r:id="rId5"/>
    <sheet name="OPEX" sheetId="5" r:id="rId6"/>
    <sheet name="Amort_Immobilisation" sheetId="6" r:id="rId7"/>
    <sheet name="TA _Invest" sheetId="7" r:id="rId8"/>
    <sheet name="TA _Exploitation" sheetId="8" r:id="rId9"/>
    <sheet name="Feuil1" sheetId="16" r:id="rId10"/>
    <sheet name="CEP" sheetId="9" r:id="rId11"/>
    <sheet name="Plan tréso" sheetId="10" r:id="rId12"/>
    <sheet name="Cashflow" sheetId="11" r:id="rId13"/>
    <sheet name="Données_Graph" sheetId="12" state="hidden" r:id="rId14"/>
    <sheet name="GRAPH" sheetId="13" r:id="rId15"/>
    <sheet name="Equilibre" sheetId="14" r:id="rId16"/>
  </sheets>
  <definedNames>
    <definedName name="Amort_Bat">Hypotheses!$F$33</definedName>
    <definedName name="Amort_Equipement">Hypotheses!$F$35</definedName>
    <definedName name="Amort_Installation">Hypotheses!$F$37</definedName>
    <definedName name="Amort_MMB">Hypotheses!$F$34</definedName>
    <definedName name="Amort_Vehicule">Hypotheses!$F$36</definedName>
    <definedName name="ChoixVerC">#REF!</definedName>
    <definedName name="Cot_sociales">#REF!</definedName>
    <definedName name="CountryList">#REF!</definedName>
    <definedName name="Cout_Projet">#REF!</definedName>
    <definedName name="CurrToggle">#REF!</definedName>
    <definedName name="DaysPayable">Cashflow!$F$17</definedName>
    <definedName name="DaysReceivable">Cashflow!$F$16</definedName>
    <definedName name="Delais_clients">Hypotheses!$F$28</definedName>
    <definedName name="Delais_Frs">Hypotheses!$F$29</definedName>
    <definedName name="Delais_Stocks">Hypotheses!$F$30</definedName>
    <definedName name="Inflation">Hypotheses!$F$24</definedName>
    <definedName name="InventoryTurnover">Cashflow!$F$18</definedName>
    <definedName name="jours_an">Hypotheses!$F$25</definedName>
    <definedName name="Prix1">#REF!</definedName>
    <definedName name="Prix2">#REF!</definedName>
    <definedName name="Prix3">#REF!</definedName>
    <definedName name="Taux_interet">Hypotheses!$F$23</definedName>
    <definedName name="Taux_IS">Hypotheses!$F$22</definedName>
    <definedName name="Volume1">#REF!</definedName>
    <definedName name="Volume2">#REF!</definedName>
    <definedName name="Volume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iuEq0VYtCsGySRnr1LVmXpbvc8lQ=="/>
    </ext>
  </extLst>
</workbook>
</file>

<file path=xl/calcChain.xml><?xml version="1.0" encoding="utf-8"?>
<calcChain xmlns="http://schemas.openxmlformats.org/spreadsheetml/2006/main">
  <c r="B19" i="4" l="1"/>
  <c r="F8" i="5"/>
  <c r="L52" i="3"/>
  <c r="L47" i="3"/>
  <c r="F65" i="1"/>
  <c r="G65" i="1"/>
  <c r="F24" i="5"/>
  <c r="B47" i="4"/>
  <c r="B27" i="4"/>
  <c r="B6" i="4"/>
  <c r="D47" i="14"/>
  <c r="D46" i="14"/>
  <c r="G6" i="12"/>
  <c r="E24" i="11"/>
  <c r="E23" i="11"/>
  <c r="E22" i="11"/>
  <c r="E20" i="11"/>
  <c r="E19" i="11"/>
  <c r="E18" i="11"/>
  <c r="E17" i="11"/>
  <c r="E14" i="11"/>
  <c r="E13" i="11"/>
  <c r="E12" i="11"/>
  <c r="F11" i="11"/>
  <c r="E11" i="11"/>
  <c r="E10" i="11"/>
  <c r="J9" i="11"/>
  <c r="E9" i="11"/>
  <c r="E8" i="11"/>
  <c r="F5" i="11"/>
  <c r="F94" i="11" s="1"/>
  <c r="E25" i="10"/>
  <c r="E24" i="10"/>
  <c r="E23" i="10"/>
  <c r="J22" i="10"/>
  <c r="I22" i="10"/>
  <c r="H22" i="10"/>
  <c r="G22" i="10"/>
  <c r="E22" i="10"/>
  <c r="F21" i="10"/>
  <c r="E21" i="10"/>
  <c r="F20" i="10"/>
  <c r="E20" i="10"/>
  <c r="F19" i="10"/>
  <c r="E19" i="10"/>
  <c r="F18" i="10"/>
  <c r="E18" i="10"/>
  <c r="F17" i="10"/>
  <c r="E17" i="10"/>
  <c r="E16" i="10"/>
  <c r="E15" i="10"/>
  <c r="E14" i="10"/>
  <c r="E13" i="10"/>
  <c r="E12" i="10"/>
  <c r="E9" i="10"/>
  <c r="H27" i="9"/>
  <c r="G27" i="9"/>
  <c r="F27" i="9"/>
  <c r="E27" i="9"/>
  <c r="D27" i="9"/>
  <c r="J16" i="8"/>
  <c r="G15" i="8"/>
  <c r="B11" i="8"/>
  <c r="B5" i="8"/>
  <c r="B9" i="8" s="1"/>
  <c r="B6" i="8" s="1"/>
  <c r="A63" i="7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J16" i="7"/>
  <c r="B11" i="7"/>
  <c r="B5" i="7"/>
  <c r="B9" i="7" s="1"/>
  <c r="E48" i="6"/>
  <c r="E47" i="6"/>
  <c r="E46" i="6"/>
  <c r="E45" i="6"/>
  <c r="E44" i="6"/>
  <c r="E43" i="6"/>
  <c r="G40" i="6"/>
  <c r="G29" i="6"/>
  <c r="D48" i="6" s="1"/>
  <c r="G28" i="6"/>
  <c r="D47" i="6" s="1"/>
  <c r="G27" i="6"/>
  <c r="D46" i="6" s="1"/>
  <c r="G26" i="6"/>
  <c r="D43" i="6" s="1"/>
  <c r="G25" i="6"/>
  <c r="G20" i="6"/>
  <c r="G19" i="6"/>
  <c r="G18" i="6"/>
  <c r="G17" i="6"/>
  <c r="G16" i="6"/>
  <c r="G15" i="6"/>
  <c r="G21" i="6" s="1"/>
  <c r="D45" i="6" s="1"/>
  <c r="G11" i="6"/>
  <c r="G10" i="6"/>
  <c r="G9" i="6"/>
  <c r="G7" i="6"/>
  <c r="G5" i="6"/>
  <c r="G12" i="6" s="1"/>
  <c r="E56" i="5"/>
  <c r="E55" i="5"/>
  <c r="E54" i="5"/>
  <c r="E53" i="5"/>
  <c r="E52" i="5"/>
  <c r="E48" i="5"/>
  <c r="G47" i="5"/>
  <c r="E47" i="5"/>
  <c r="D47" i="5"/>
  <c r="D21" i="10" s="1"/>
  <c r="G46" i="5"/>
  <c r="E46" i="5"/>
  <c r="D46" i="5"/>
  <c r="D20" i="10" s="1"/>
  <c r="G45" i="5"/>
  <c r="D45" i="5"/>
  <c r="D19" i="10" s="1"/>
  <c r="G44" i="5"/>
  <c r="E44" i="5"/>
  <c r="D44" i="5"/>
  <c r="D18" i="10" s="1"/>
  <c r="G43" i="5"/>
  <c r="E43" i="5"/>
  <c r="D43" i="5"/>
  <c r="D17" i="10" s="1"/>
  <c r="G42" i="5"/>
  <c r="H42" i="5" s="1"/>
  <c r="I42" i="5" s="1"/>
  <c r="J42" i="5" s="1"/>
  <c r="E42" i="5"/>
  <c r="D42" i="5"/>
  <c r="G41" i="5"/>
  <c r="H41" i="5" s="1"/>
  <c r="I41" i="5" s="1"/>
  <c r="J41" i="5" s="1"/>
  <c r="E41" i="5"/>
  <c r="D41" i="5"/>
  <c r="G40" i="5"/>
  <c r="H40" i="5" s="1"/>
  <c r="I40" i="5" s="1"/>
  <c r="J40" i="5" s="1"/>
  <c r="E40" i="5"/>
  <c r="D40" i="5"/>
  <c r="G39" i="5"/>
  <c r="H39" i="5" s="1"/>
  <c r="I39" i="5" s="1"/>
  <c r="J39" i="5" s="1"/>
  <c r="E39" i="5"/>
  <c r="D39" i="5"/>
  <c r="G38" i="5"/>
  <c r="H38" i="5" s="1"/>
  <c r="I38" i="5" s="1"/>
  <c r="J38" i="5" s="1"/>
  <c r="E38" i="5"/>
  <c r="D38" i="5"/>
  <c r="G37" i="5"/>
  <c r="H37" i="5" s="1"/>
  <c r="I37" i="5" s="1"/>
  <c r="J37" i="5" s="1"/>
  <c r="E37" i="5"/>
  <c r="D37" i="5"/>
  <c r="E36" i="5"/>
  <c r="D36" i="5"/>
  <c r="E35" i="5"/>
  <c r="D35" i="5"/>
  <c r="E34" i="5"/>
  <c r="D34" i="5"/>
  <c r="E33" i="5"/>
  <c r="D33" i="5"/>
  <c r="D16" i="10" s="1"/>
  <c r="E32" i="5"/>
  <c r="E31" i="5"/>
  <c r="E30" i="5"/>
  <c r="E29" i="5"/>
  <c r="E28" i="5"/>
  <c r="E27" i="5"/>
  <c r="E26" i="5"/>
  <c r="D26" i="5"/>
  <c r="D15" i="10" s="1"/>
  <c r="E25" i="5"/>
  <c r="D25" i="5"/>
  <c r="D14" i="10" s="1"/>
  <c r="E24" i="5"/>
  <c r="E23" i="5"/>
  <c r="F22" i="5"/>
  <c r="G22" i="5" s="1"/>
  <c r="H22" i="5" s="1"/>
  <c r="I22" i="5" s="1"/>
  <c r="J22" i="5" s="1"/>
  <c r="D22" i="5"/>
  <c r="D21" i="5"/>
  <c r="E20" i="5"/>
  <c r="F19" i="5"/>
  <c r="G19" i="5" s="1"/>
  <c r="H19" i="5" s="1"/>
  <c r="I19" i="5" s="1"/>
  <c r="J19" i="5" s="1"/>
  <c r="D19" i="5"/>
  <c r="D18" i="5"/>
  <c r="E17" i="5"/>
  <c r="F16" i="5"/>
  <c r="G16" i="5" s="1"/>
  <c r="H16" i="5" s="1"/>
  <c r="I16" i="5" s="1"/>
  <c r="J16" i="5" s="1"/>
  <c r="D16" i="5"/>
  <c r="F15" i="5"/>
  <c r="G15" i="5" s="1"/>
  <c r="H15" i="5" s="1"/>
  <c r="I15" i="5" s="1"/>
  <c r="J15" i="5" s="1"/>
  <c r="D15" i="5"/>
  <c r="J14" i="5"/>
  <c r="I14" i="5"/>
  <c r="H14" i="5"/>
  <c r="G14" i="5"/>
  <c r="F14" i="5"/>
  <c r="E14" i="5"/>
  <c r="F13" i="5"/>
  <c r="G13" i="5" s="1"/>
  <c r="H13" i="5" s="1"/>
  <c r="I13" i="5" s="1"/>
  <c r="J13" i="5" s="1"/>
  <c r="D13" i="5"/>
  <c r="F12" i="5"/>
  <c r="G12" i="5" s="1"/>
  <c r="H12" i="5" s="1"/>
  <c r="I12" i="5" s="1"/>
  <c r="J12" i="5" s="1"/>
  <c r="D12" i="5"/>
  <c r="J11" i="5"/>
  <c r="I11" i="5"/>
  <c r="H11" i="5"/>
  <c r="G11" i="5"/>
  <c r="F11" i="5"/>
  <c r="E11" i="5"/>
  <c r="F10" i="5"/>
  <c r="G10" i="5" s="1"/>
  <c r="H10" i="5" s="1"/>
  <c r="I10" i="5" s="1"/>
  <c r="J10" i="5" s="1"/>
  <c r="D10" i="5"/>
  <c r="F9" i="5"/>
  <c r="G9" i="5" s="1"/>
  <c r="H9" i="5" s="1"/>
  <c r="I9" i="5" s="1"/>
  <c r="J9" i="5" s="1"/>
  <c r="D9" i="5"/>
  <c r="J8" i="5"/>
  <c r="I8" i="5"/>
  <c r="H8" i="5"/>
  <c r="G8" i="5"/>
  <c r="E8" i="5"/>
  <c r="F5" i="5"/>
  <c r="B60" i="4"/>
  <c r="F36" i="5" s="1"/>
  <c r="G36" i="5" s="1"/>
  <c r="H36" i="5" s="1"/>
  <c r="I36" i="5" s="1"/>
  <c r="J36" i="5" s="1"/>
  <c r="B40" i="4"/>
  <c r="F34" i="5" s="1"/>
  <c r="F35" i="5"/>
  <c r="G35" i="5" s="1"/>
  <c r="H35" i="5" s="1"/>
  <c r="I35" i="5" s="1"/>
  <c r="J35" i="5" s="1"/>
  <c r="H18" i="4"/>
  <c r="H17" i="4"/>
  <c r="H16" i="4"/>
  <c r="H15" i="4"/>
  <c r="H14" i="4"/>
  <c r="H13" i="4"/>
  <c r="H12" i="4"/>
  <c r="H11" i="4"/>
  <c r="H10" i="4"/>
  <c r="H9" i="4"/>
  <c r="H8" i="4"/>
  <c r="H7" i="4"/>
  <c r="H19" i="4" s="1"/>
  <c r="F25" i="5" s="1"/>
  <c r="D92" i="3"/>
  <c r="D31" i="5" s="1"/>
  <c r="D91" i="3"/>
  <c r="D30" i="5" s="1"/>
  <c r="D90" i="3"/>
  <c r="D29" i="5" s="1"/>
  <c r="D89" i="3"/>
  <c r="D28" i="5" s="1"/>
  <c r="D88" i="3"/>
  <c r="D27" i="5" s="1"/>
  <c r="D83" i="3"/>
  <c r="D82" i="3"/>
  <c r="D81" i="3"/>
  <c r="D20" i="5" s="1"/>
  <c r="D80" i="3"/>
  <c r="D79" i="3"/>
  <c r="D78" i="3"/>
  <c r="D17" i="5" s="1"/>
  <c r="D77" i="3"/>
  <c r="D76" i="3"/>
  <c r="D75" i="3"/>
  <c r="D14" i="5" s="1"/>
  <c r="D74" i="3"/>
  <c r="D73" i="3"/>
  <c r="D72" i="3"/>
  <c r="D11" i="5" s="1"/>
  <c r="D71" i="3"/>
  <c r="D70" i="3"/>
  <c r="D69" i="3"/>
  <c r="D8" i="5" s="1"/>
  <c r="G60" i="3"/>
  <c r="F21" i="5" s="1"/>
  <c r="D59" i="3"/>
  <c r="G57" i="3"/>
  <c r="F18" i="5" s="1"/>
  <c r="D56" i="3"/>
  <c r="D53" i="3"/>
  <c r="F31" i="5"/>
  <c r="G31" i="5" s="1"/>
  <c r="H31" i="5" s="1"/>
  <c r="I31" i="5" s="1"/>
  <c r="J31" i="5" s="1"/>
  <c r="I52" i="3"/>
  <c r="L51" i="3"/>
  <c r="F30" i="5" s="1"/>
  <c r="G30" i="5" s="1"/>
  <c r="H30" i="5" s="1"/>
  <c r="I30" i="5" s="1"/>
  <c r="J30" i="5" s="1"/>
  <c r="I51" i="3"/>
  <c r="L50" i="3"/>
  <c r="F29" i="5" s="1"/>
  <c r="G29" i="5" s="1"/>
  <c r="H29" i="5" s="1"/>
  <c r="I29" i="5" s="1"/>
  <c r="J29" i="5" s="1"/>
  <c r="I50" i="3"/>
  <c r="D50" i="3"/>
  <c r="L49" i="3"/>
  <c r="F28" i="5" s="1"/>
  <c r="G28" i="5" s="1"/>
  <c r="H28" i="5" s="1"/>
  <c r="I28" i="5" s="1"/>
  <c r="J28" i="5" s="1"/>
  <c r="I49" i="3"/>
  <c r="L48" i="3"/>
  <c r="F27" i="5" s="1"/>
  <c r="I48" i="3"/>
  <c r="K47" i="3"/>
  <c r="J47" i="3"/>
  <c r="I47" i="3"/>
  <c r="D47" i="3"/>
  <c r="G24" i="3"/>
  <c r="G22" i="3"/>
  <c r="H5" i="3"/>
  <c r="G5" i="11" l="1"/>
  <c r="G94" i="11" s="1"/>
  <c r="K16" i="8"/>
  <c r="K16" i="7"/>
  <c r="H40" i="6"/>
  <c r="G5" i="5"/>
  <c r="I5" i="3"/>
  <c r="G27" i="5"/>
  <c r="F26" i="5"/>
  <c r="G18" i="5"/>
  <c r="F17" i="5"/>
  <c r="G17" i="5" s="1"/>
  <c r="F7" i="5"/>
  <c r="B14" i="12" s="1"/>
  <c r="G21" i="5"/>
  <c r="F20" i="5"/>
  <c r="F14" i="10"/>
  <c r="D10" i="9"/>
  <c r="D33" i="9" s="1"/>
  <c r="G25" i="5"/>
  <c r="G24" i="5"/>
  <c r="H24" i="5" s="1"/>
  <c r="I24" i="5" s="1"/>
  <c r="J24" i="5" s="1"/>
  <c r="G34" i="5"/>
  <c r="F33" i="5"/>
  <c r="F16" i="10" s="1"/>
  <c r="F5" i="10"/>
  <c r="D6" i="9"/>
  <c r="F23" i="5"/>
  <c r="G17" i="10"/>
  <c r="H43" i="5"/>
  <c r="G18" i="10"/>
  <c r="H44" i="5"/>
  <c r="G19" i="10"/>
  <c r="H45" i="5"/>
  <c r="G20" i="10"/>
  <c r="H46" i="5"/>
  <c r="G21" i="10"/>
  <c r="H47" i="5"/>
  <c r="D44" i="6"/>
  <c r="K45" i="6"/>
  <c r="J45" i="6"/>
  <c r="I45" i="6"/>
  <c r="H45" i="6"/>
  <c r="G45" i="6"/>
  <c r="F45" i="6"/>
  <c r="D42" i="6"/>
  <c r="G30" i="6"/>
  <c r="K43" i="6"/>
  <c r="J43" i="6"/>
  <c r="I43" i="6"/>
  <c r="H43" i="6"/>
  <c r="G43" i="6"/>
  <c r="F43" i="6"/>
  <c r="K46" i="6"/>
  <c r="J46" i="6"/>
  <c r="I46" i="6"/>
  <c r="H46" i="6"/>
  <c r="G46" i="6"/>
  <c r="F46" i="6"/>
  <c r="K47" i="6"/>
  <c r="J47" i="6"/>
  <c r="I47" i="6"/>
  <c r="H47" i="6"/>
  <c r="G47" i="6"/>
  <c r="F47" i="6"/>
  <c r="K48" i="6"/>
  <c r="J48" i="6"/>
  <c r="I48" i="6"/>
  <c r="H48" i="6"/>
  <c r="G48" i="6"/>
  <c r="F48" i="6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B12" i="8"/>
  <c r="D16" i="8"/>
  <c r="E16" i="8" l="1"/>
  <c r="F41" i="8"/>
  <c r="C16" i="8"/>
  <c r="G8" i="14"/>
  <c r="B2" i="7"/>
  <c r="K44" i="6"/>
  <c r="K49" i="6" s="1"/>
  <c r="J50" i="5" s="1"/>
  <c r="J49" i="5" s="1"/>
  <c r="J44" i="6"/>
  <c r="J49" i="6" s="1"/>
  <c r="I50" i="5" s="1"/>
  <c r="I49" i="5" s="1"/>
  <c r="I44" i="6"/>
  <c r="I49" i="6" s="1"/>
  <c r="H50" i="5" s="1"/>
  <c r="H49" i="5" s="1"/>
  <c r="H44" i="6"/>
  <c r="H49" i="6" s="1"/>
  <c r="G50" i="5" s="1"/>
  <c r="G49" i="5" s="1"/>
  <c r="G44" i="6"/>
  <c r="G49" i="6" s="1"/>
  <c r="F50" i="5" s="1"/>
  <c r="F49" i="5" s="1"/>
  <c r="D13" i="9" s="1"/>
  <c r="D36" i="9" s="1"/>
  <c r="F44" i="6"/>
  <c r="H21" i="10"/>
  <c r="I47" i="5"/>
  <c r="H20" i="10"/>
  <c r="I46" i="5"/>
  <c r="H19" i="10"/>
  <c r="I45" i="5"/>
  <c r="H18" i="10"/>
  <c r="I44" i="5"/>
  <c r="H17" i="10"/>
  <c r="I43" i="5"/>
  <c r="B6" i="12"/>
  <c r="F30" i="11"/>
  <c r="F10" i="10"/>
  <c r="D9" i="9"/>
  <c r="F32" i="5"/>
  <c r="F48" i="5" s="1"/>
  <c r="F52" i="5" s="1"/>
  <c r="G2" i="14"/>
  <c r="G3" i="14" s="1"/>
  <c r="D29" i="9"/>
  <c r="H34" i="5"/>
  <c r="G33" i="5"/>
  <c r="G16" i="10" s="1"/>
  <c r="G14" i="10"/>
  <c r="E10" i="9"/>
  <c r="E33" i="9" s="1"/>
  <c r="H25" i="5"/>
  <c r="H21" i="5"/>
  <c r="G20" i="5"/>
  <c r="G23" i="5" s="1"/>
  <c r="H18" i="5"/>
  <c r="G7" i="5"/>
  <c r="F32" i="11"/>
  <c r="F31" i="11"/>
  <c r="F15" i="10"/>
  <c r="D11" i="9"/>
  <c r="D34" i="9" s="1"/>
  <c r="H27" i="5"/>
  <c r="G26" i="5"/>
  <c r="H5" i="11"/>
  <c r="H94" i="11" s="1"/>
  <c r="L16" i="7"/>
  <c r="I40" i="6"/>
  <c r="H5" i="5"/>
  <c r="J5" i="3"/>
  <c r="G5" i="10"/>
  <c r="E6" i="9"/>
  <c r="H2" i="14" l="1"/>
  <c r="H3" i="14" s="1"/>
  <c r="E29" i="9"/>
  <c r="I5" i="11"/>
  <c r="I94" i="11" s="1"/>
  <c r="M16" i="7"/>
  <c r="J40" i="6"/>
  <c r="I5" i="5"/>
  <c r="K5" i="3"/>
  <c r="H5" i="10"/>
  <c r="F6" i="9"/>
  <c r="G32" i="11"/>
  <c r="G31" i="11"/>
  <c r="G15" i="10"/>
  <c r="E11" i="9"/>
  <c r="E34" i="9" s="1"/>
  <c r="I27" i="5"/>
  <c r="H26" i="5"/>
  <c r="C14" i="12"/>
  <c r="G6" i="5"/>
  <c r="I18" i="5"/>
  <c r="H17" i="5"/>
  <c r="H7" i="5"/>
  <c r="C6" i="12"/>
  <c r="J6" i="12" s="1"/>
  <c r="G30" i="11"/>
  <c r="G33" i="11" s="1"/>
  <c r="G10" i="10"/>
  <c r="E9" i="9"/>
  <c r="G32" i="5"/>
  <c r="G48" i="5" s="1"/>
  <c r="G52" i="5" s="1"/>
  <c r="I21" i="5"/>
  <c r="H20" i="5"/>
  <c r="H14" i="10"/>
  <c r="F10" i="9"/>
  <c r="F33" i="9" s="1"/>
  <c r="I25" i="5"/>
  <c r="I34" i="5"/>
  <c r="H33" i="5"/>
  <c r="H16" i="10" s="1"/>
  <c r="B7" i="12"/>
  <c r="D12" i="9"/>
  <c r="D32" i="9"/>
  <c r="D35" i="9" s="1"/>
  <c r="D37" i="9" s="1"/>
  <c r="F33" i="11"/>
  <c r="F34" i="11" s="1"/>
  <c r="G7" i="14" s="1"/>
  <c r="I17" i="10"/>
  <c r="J43" i="5"/>
  <c r="J17" i="10" s="1"/>
  <c r="I18" i="10"/>
  <c r="J44" i="5"/>
  <c r="J18" i="10" s="1"/>
  <c r="I19" i="10"/>
  <c r="J45" i="5"/>
  <c r="J19" i="10" s="1"/>
  <c r="I20" i="10"/>
  <c r="J46" i="5"/>
  <c r="J20" i="10" s="1"/>
  <c r="I21" i="10"/>
  <c r="J47" i="5"/>
  <c r="J21" i="10" s="1"/>
  <c r="F9" i="11"/>
  <c r="E13" i="9"/>
  <c r="E36" i="9" s="1"/>
  <c r="G9" i="11"/>
  <c r="F13" i="9"/>
  <c r="F36" i="9" s="1"/>
  <c r="H9" i="11"/>
  <c r="G13" i="9"/>
  <c r="G36" i="9" s="1"/>
  <c r="I9" i="11"/>
  <c r="H13" i="9"/>
  <c r="H36" i="9" s="1"/>
  <c r="G45" i="14"/>
  <c r="F12" i="11"/>
  <c r="F17" i="11" s="1"/>
  <c r="F11" i="10"/>
  <c r="F12" i="10" s="1"/>
  <c r="G15" i="7"/>
  <c r="B6" i="7"/>
  <c r="G16" i="8"/>
  <c r="D17" i="8" l="1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B12" i="7"/>
  <c r="D16" i="7"/>
  <c r="F22" i="10"/>
  <c r="G9" i="14"/>
  <c r="G6" i="14"/>
  <c r="D14" i="9"/>
  <c r="J34" i="5"/>
  <c r="J33" i="5" s="1"/>
  <c r="J16" i="10" s="1"/>
  <c r="I33" i="5"/>
  <c r="I16" i="10" s="1"/>
  <c r="I14" i="10"/>
  <c r="G10" i="9"/>
  <c r="G33" i="9" s="1"/>
  <c r="J25" i="5"/>
  <c r="J21" i="5"/>
  <c r="J20" i="5" s="1"/>
  <c r="I20" i="5"/>
  <c r="C7" i="12"/>
  <c r="J7" i="12" s="1"/>
  <c r="E12" i="9"/>
  <c r="E32" i="9"/>
  <c r="E35" i="9" s="1"/>
  <c r="E37" i="9" s="1"/>
  <c r="G34" i="11"/>
  <c r="H7" i="14" s="1"/>
  <c r="D14" i="12"/>
  <c r="H6" i="5"/>
  <c r="H23" i="5"/>
  <c r="J18" i="5"/>
  <c r="I17" i="5"/>
  <c r="I23" i="5" s="1"/>
  <c r="I7" i="5"/>
  <c r="H32" i="11"/>
  <c r="H31" i="11"/>
  <c r="H15" i="10"/>
  <c r="F11" i="9"/>
  <c r="F34" i="9" s="1"/>
  <c r="J27" i="5"/>
  <c r="J26" i="5" s="1"/>
  <c r="I26" i="5"/>
  <c r="I2" i="14"/>
  <c r="I3" i="14" s="1"/>
  <c r="F29" i="9"/>
  <c r="J5" i="11"/>
  <c r="J94" i="11" s="1"/>
  <c r="N16" i="7"/>
  <c r="K40" i="6"/>
  <c r="J5" i="5"/>
  <c r="I5" i="10"/>
  <c r="G6" i="9"/>
  <c r="J2" i="14" l="1"/>
  <c r="J3" i="14" s="1"/>
  <c r="G29" i="9"/>
  <c r="J5" i="10"/>
  <c r="H6" i="9"/>
  <c r="I32" i="11"/>
  <c r="I31" i="11"/>
  <c r="I15" i="10"/>
  <c r="G11" i="9"/>
  <c r="G34" i="9" s="1"/>
  <c r="J32" i="11"/>
  <c r="J31" i="11"/>
  <c r="J15" i="10"/>
  <c r="H11" i="9"/>
  <c r="H34" i="9" s="1"/>
  <c r="E14" i="12"/>
  <c r="I6" i="5"/>
  <c r="E6" i="12"/>
  <c r="I30" i="11"/>
  <c r="I33" i="11" s="1"/>
  <c r="I10" i="10"/>
  <c r="G9" i="9"/>
  <c r="I32" i="5"/>
  <c r="I48" i="5" s="1"/>
  <c r="I52" i="5" s="1"/>
  <c r="J17" i="5"/>
  <c r="J23" i="5" s="1"/>
  <c r="J7" i="5"/>
  <c r="D6" i="12"/>
  <c r="K6" i="12" s="1"/>
  <c r="H30" i="11"/>
  <c r="H33" i="11" s="1"/>
  <c r="H34" i="11" s="1"/>
  <c r="I7" i="14" s="1"/>
  <c r="H10" i="10"/>
  <c r="F9" i="9"/>
  <c r="H32" i="5"/>
  <c r="H48" i="5" s="1"/>
  <c r="H52" i="5" s="1"/>
  <c r="H9" i="14"/>
  <c r="H6" i="14"/>
  <c r="E14" i="9"/>
  <c r="J14" i="10"/>
  <c r="H10" i="9"/>
  <c r="H33" i="9" s="1"/>
  <c r="G33" i="14"/>
  <c r="G10" i="14"/>
  <c r="E16" i="7"/>
  <c r="F78" i="7"/>
  <c r="C16" i="7"/>
  <c r="E17" i="8"/>
  <c r="C17" i="8"/>
  <c r="G17" i="8" l="1"/>
  <c r="G16" i="7"/>
  <c r="G26" i="14"/>
  <c r="H33" i="14"/>
  <c r="H10" i="14"/>
  <c r="D7" i="12"/>
  <c r="K7" i="12" s="1"/>
  <c r="F12" i="9"/>
  <c r="F32" i="9"/>
  <c r="F35" i="9" s="1"/>
  <c r="F37" i="9" s="1"/>
  <c r="F14" i="12"/>
  <c r="J6" i="5"/>
  <c r="F6" i="12"/>
  <c r="M6" i="12" s="1"/>
  <c r="J30" i="11"/>
  <c r="J33" i="11" s="1"/>
  <c r="J34" i="11" s="1"/>
  <c r="K7" i="14" s="1"/>
  <c r="J10" i="10"/>
  <c r="H9" i="9"/>
  <c r="J32" i="5"/>
  <c r="J48" i="5" s="1"/>
  <c r="J52" i="5" s="1"/>
  <c r="E7" i="12"/>
  <c r="L7" i="12" s="1"/>
  <c r="G12" i="9"/>
  <c r="G32" i="9"/>
  <c r="G35" i="9" s="1"/>
  <c r="G37" i="9" s="1"/>
  <c r="I34" i="11"/>
  <c r="J7" i="14" s="1"/>
  <c r="L6" i="12"/>
  <c r="K2" i="14"/>
  <c r="K3" i="14" s="1"/>
  <c r="H29" i="9"/>
  <c r="J9" i="14" l="1"/>
  <c r="J6" i="14"/>
  <c r="G14" i="9"/>
  <c r="F7" i="12"/>
  <c r="M7" i="12" s="1"/>
  <c r="H12" i="9"/>
  <c r="H32" i="9"/>
  <c r="H35" i="9" s="1"/>
  <c r="H37" i="9" s="1"/>
  <c r="I9" i="14"/>
  <c r="I6" i="14"/>
  <c r="F14" i="9"/>
  <c r="H26" i="14"/>
  <c r="D17" i="7"/>
  <c r="D18" i="8"/>
  <c r="E18" i="8" l="1"/>
  <c r="C18" i="8"/>
  <c r="E17" i="7"/>
  <c r="C17" i="7"/>
  <c r="I33" i="14"/>
  <c r="I10" i="14"/>
  <c r="K9" i="14"/>
  <c r="K6" i="14"/>
  <c r="H14" i="9"/>
  <c r="J33" i="14"/>
  <c r="J10" i="14"/>
  <c r="K33" i="14" l="1"/>
  <c r="K10" i="14"/>
  <c r="F13" i="14"/>
  <c r="I26" i="14"/>
  <c r="G17" i="7"/>
  <c r="G18" i="8"/>
  <c r="D19" i="8" l="1"/>
  <c r="D18" i="7"/>
  <c r="J26" i="14"/>
  <c r="K26" i="14" l="1"/>
  <c r="F27" i="14"/>
  <c r="E18" i="7"/>
  <c r="C18" i="7"/>
  <c r="E19" i="8"/>
  <c r="C19" i="8"/>
  <c r="G19" i="8" l="1"/>
  <c r="G18" i="7"/>
  <c r="D19" i="7" l="1"/>
  <c r="D20" i="8"/>
  <c r="E20" i="8" l="1"/>
  <c r="C20" i="8"/>
  <c r="E19" i="7"/>
  <c r="C19" i="7"/>
  <c r="G19" i="7" l="1"/>
  <c r="G20" i="8"/>
  <c r="D21" i="8" l="1"/>
  <c r="D20" i="7"/>
  <c r="E20" i="7" l="1"/>
  <c r="C20" i="7"/>
  <c r="E21" i="8"/>
  <c r="C21" i="8"/>
  <c r="G21" i="8" l="1"/>
  <c r="G20" i="7"/>
  <c r="D21" i="7" l="1"/>
  <c r="D22" i="8"/>
  <c r="E22" i="8" l="1"/>
  <c r="C22" i="8"/>
  <c r="E21" i="7"/>
  <c r="C21" i="7"/>
  <c r="G21" i="7" l="1"/>
  <c r="G22" i="8"/>
  <c r="D23" i="8" l="1"/>
  <c r="D22" i="7"/>
  <c r="E22" i="7" l="1"/>
  <c r="C22" i="7"/>
  <c r="E23" i="8"/>
  <c r="C23" i="8"/>
  <c r="G23" i="8" l="1"/>
  <c r="G22" i="7"/>
  <c r="D23" i="7" l="1"/>
  <c r="D24" i="8"/>
  <c r="E24" i="8" l="1"/>
  <c r="C24" i="8"/>
  <c r="E23" i="7"/>
  <c r="C23" i="7"/>
  <c r="G23" i="7" l="1"/>
  <c r="G24" i="8"/>
  <c r="D25" i="8" l="1"/>
  <c r="D24" i="7"/>
  <c r="E24" i="7" l="1"/>
  <c r="C24" i="7"/>
  <c r="E25" i="8"/>
  <c r="C25" i="8"/>
  <c r="G25" i="8" l="1"/>
  <c r="G24" i="7"/>
  <c r="D25" i="7" l="1"/>
  <c r="D26" i="8"/>
  <c r="E26" i="8" l="1"/>
  <c r="C26" i="8"/>
  <c r="E25" i="7"/>
  <c r="C25" i="7"/>
  <c r="G25" i="7" l="1"/>
  <c r="G26" i="8"/>
  <c r="D27" i="8" l="1"/>
  <c r="D26" i="7"/>
  <c r="E26" i="7" l="1"/>
  <c r="C26" i="7"/>
  <c r="E27" i="8"/>
  <c r="C27" i="8"/>
  <c r="J18" i="8"/>
  <c r="J17" i="8" l="1"/>
  <c r="G27" i="8"/>
  <c r="G26" i="7"/>
  <c r="D27" i="7" l="1"/>
  <c r="D28" i="8"/>
  <c r="E28" i="8" l="1"/>
  <c r="C28" i="8"/>
  <c r="E27" i="7"/>
  <c r="C27" i="7"/>
  <c r="J18" i="7"/>
  <c r="G46" i="14" l="1"/>
  <c r="G34" i="14"/>
  <c r="J17" i="7"/>
  <c r="G27" i="7"/>
  <c r="G28" i="8"/>
  <c r="D29" i="8" l="1"/>
  <c r="D28" i="7"/>
  <c r="G47" i="14"/>
  <c r="G35" i="14"/>
  <c r="F23" i="10"/>
  <c r="F53" i="5"/>
  <c r="G36" i="14"/>
  <c r="G38" i="14" s="1"/>
  <c r="G48" i="14"/>
  <c r="D15" i="9" l="1"/>
  <c r="F54" i="5"/>
  <c r="F18" i="11"/>
  <c r="F20" i="11" s="1"/>
  <c r="B22" i="12" s="1"/>
  <c r="F24" i="10"/>
  <c r="F25" i="10" s="1"/>
  <c r="G7" i="10" s="1"/>
  <c r="G12" i="10" s="1"/>
  <c r="E28" i="7"/>
  <c r="C28" i="7"/>
  <c r="E29" i="8"/>
  <c r="C29" i="8"/>
  <c r="G29" i="8" l="1"/>
  <c r="G28" i="7"/>
  <c r="B8" i="12"/>
  <c r="F55" i="5"/>
  <c r="F56" i="5" s="1"/>
  <c r="D38" i="9"/>
  <c r="D39" i="9" s="1"/>
  <c r="D16" i="9"/>
  <c r="G11" i="14" l="1"/>
  <c r="D17" i="9"/>
  <c r="B9" i="12"/>
  <c r="F8" i="11"/>
  <c r="F10" i="11" s="1"/>
  <c r="D29" i="7"/>
  <c r="D30" i="8"/>
  <c r="E30" i="8" l="1"/>
  <c r="C30" i="8"/>
  <c r="E29" i="7"/>
  <c r="C29" i="7"/>
  <c r="B20" i="12"/>
  <c r="F14" i="11"/>
  <c r="G16" i="14"/>
  <c r="G17" i="14" s="1"/>
  <c r="D40" i="9"/>
  <c r="D41" i="9" s="1"/>
  <c r="D18" i="9"/>
  <c r="B21" i="12" l="1"/>
  <c r="F22" i="11"/>
  <c r="G29" i="7"/>
  <c r="G30" i="8"/>
  <c r="D31" i="8" l="1"/>
  <c r="D30" i="7"/>
  <c r="B23" i="12"/>
  <c r="F95" i="11"/>
  <c r="F24" i="11"/>
  <c r="B24" i="12" l="1"/>
  <c r="G23" i="11"/>
  <c r="E30" i="7"/>
  <c r="C30" i="7"/>
  <c r="E31" i="8"/>
  <c r="C31" i="8"/>
  <c r="G31" i="8" l="1"/>
  <c r="G30" i="7"/>
  <c r="D31" i="7" l="1"/>
  <c r="D32" i="8"/>
  <c r="E32" i="8" l="1"/>
  <c r="C32" i="8"/>
  <c r="E31" i="7"/>
  <c r="C31" i="7"/>
  <c r="G31" i="7" l="1"/>
  <c r="G32" i="8"/>
  <c r="D33" i="8" l="1"/>
  <c r="D32" i="7"/>
  <c r="E32" i="7" l="1"/>
  <c r="C32" i="7"/>
  <c r="E33" i="8"/>
  <c r="C33" i="8"/>
  <c r="G33" i="8" l="1"/>
  <c r="G32" i="7"/>
  <c r="D33" i="7" l="1"/>
  <c r="D34" i="8"/>
  <c r="E34" i="8" l="1"/>
  <c r="C34" i="8"/>
  <c r="E33" i="7"/>
  <c r="C33" i="7"/>
  <c r="G33" i="7" l="1"/>
  <c r="G34" i="8"/>
  <c r="D35" i="8" l="1"/>
  <c r="D34" i="7"/>
  <c r="E34" i="7" l="1"/>
  <c r="C34" i="7"/>
  <c r="E35" i="8"/>
  <c r="C35" i="8"/>
  <c r="G35" i="8" l="1"/>
  <c r="G34" i="7"/>
  <c r="D35" i="7" l="1"/>
  <c r="D36" i="8"/>
  <c r="E36" i="8" l="1"/>
  <c r="C36" i="8"/>
  <c r="E35" i="7"/>
  <c r="C35" i="7"/>
  <c r="G35" i="7" l="1"/>
  <c r="G36" i="8"/>
  <c r="D37" i="8" l="1"/>
  <c r="D36" i="7"/>
  <c r="E36" i="7" l="1"/>
  <c r="C36" i="7"/>
  <c r="E37" i="8"/>
  <c r="C37" i="8"/>
  <c r="G37" i="8" l="1"/>
  <c r="G36" i="7"/>
  <c r="D37" i="7" l="1"/>
  <c r="D38" i="8"/>
  <c r="E38" i="8" l="1"/>
  <c r="C38" i="8"/>
  <c r="E37" i="7"/>
  <c r="C37" i="7"/>
  <c r="G37" i="7" l="1"/>
  <c r="G38" i="8"/>
  <c r="D39" i="8" l="1"/>
  <c r="D38" i="7"/>
  <c r="E38" i="7" l="1"/>
  <c r="C38" i="7"/>
  <c r="E39" i="8"/>
  <c r="E41" i="8" s="1"/>
  <c r="C39" i="8"/>
  <c r="K18" i="8"/>
  <c r="D41" i="8"/>
  <c r="K17" i="8" l="1"/>
  <c r="C41" i="8"/>
  <c r="G39" i="8"/>
  <c r="G38" i="7"/>
  <c r="D39" i="7" l="1"/>
  <c r="E39" i="7" l="1"/>
  <c r="C39" i="7"/>
  <c r="K18" i="7"/>
  <c r="H46" i="14" l="1"/>
  <c r="H34" i="14"/>
  <c r="K17" i="7"/>
  <c r="G39" i="7"/>
  <c r="D40" i="7" l="1"/>
  <c r="H47" i="14"/>
  <c r="H35" i="14"/>
  <c r="G23" i="10"/>
  <c r="G53" i="5"/>
  <c r="H36" i="14"/>
  <c r="H38" i="14" s="1"/>
  <c r="H48" i="14"/>
  <c r="E15" i="9" l="1"/>
  <c r="G54" i="5"/>
  <c r="G18" i="11"/>
  <c r="G20" i="11" s="1"/>
  <c r="C22" i="12" s="1"/>
  <c r="G24" i="10"/>
  <c r="G25" i="10" s="1"/>
  <c r="H7" i="10" s="1"/>
  <c r="H12" i="10" s="1"/>
  <c r="E40" i="7"/>
  <c r="C40" i="7"/>
  <c r="G40" i="7" l="1"/>
  <c r="C8" i="12"/>
  <c r="J8" i="12" s="1"/>
  <c r="G55" i="5"/>
  <c r="G56" i="5" s="1"/>
  <c r="E38" i="9"/>
  <c r="E39" i="9" s="1"/>
  <c r="E16" i="9"/>
  <c r="H11" i="14" l="1"/>
  <c r="E17" i="9"/>
  <c r="C9" i="12"/>
  <c r="J9" i="12" s="1"/>
  <c r="G8" i="11"/>
  <c r="G10" i="11" s="1"/>
  <c r="D41" i="7"/>
  <c r="E41" i="7" l="1"/>
  <c r="C41" i="7"/>
  <c r="C20" i="12"/>
  <c r="G14" i="11"/>
  <c r="H16" i="14"/>
  <c r="H17" i="14" s="1"/>
  <c r="E40" i="9"/>
  <c r="E41" i="9" s="1"/>
  <c r="E18" i="9"/>
  <c r="C21" i="12" l="1"/>
  <c r="G22" i="11"/>
  <c r="G41" i="7"/>
  <c r="D42" i="7" l="1"/>
  <c r="C23" i="12"/>
  <c r="G95" i="11"/>
  <c r="G24" i="11"/>
  <c r="C24" i="12" l="1"/>
  <c r="H23" i="11"/>
  <c r="E42" i="7"/>
  <c r="C42" i="7"/>
  <c r="G42" i="7" l="1"/>
  <c r="D43" i="7" l="1"/>
  <c r="E43" i="7" l="1"/>
  <c r="C43" i="7"/>
  <c r="G43" i="7" l="1"/>
  <c r="D44" i="7" l="1"/>
  <c r="E44" i="7" l="1"/>
  <c r="C44" i="7"/>
  <c r="G44" i="7" l="1"/>
  <c r="D45" i="7" l="1"/>
  <c r="E45" i="7" l="1"/>
  <c r="C45" i="7"/>
  <c r="G45" i="7" l="1"/>
  <c r="D46" i="7" l="1"/>
  <c r="E46" i="7" l="1"/>
  <c r="C46" i="7"/>
  <c r="G46" i="7" l="1"/>
  <c r="D47" i="7" l="1"/>
  <c r="E47" i="7" l="1"/>
  <c r="C47" i="7"/>
  <c r="G47" i="7" l="1"/>
  <c r="D48" i="7" l="1"/>
  <c r="E48" i="7" l="1"/>
  <c r="C48" i="7"/>
  <c r="G48" i="7" l="1"/>
  <c r="D49" i="7" l="1"/>
  <c r="E49" i="7" l="1"/>
  <c r="C49" i="7"/>
  <c r="G49" i="7" l="1"/>
  <c r="D50" i="7" l="1"/>
  <c r="E50" i="7" l="1"/>
  <c r="C50" i="7"/>
  <c r="G50" i="7" l="1"/>
  <c r="D51" i="7" l="1"/>
  <c r="E51" i="7" l="1"/>
  <c r="C51" i="7"/>
  <c r="L18" i="7"/>
  <c r="I46" i="14" l="1"/>
  <c r="I34" i="14"/>
  <c r="L17" i="7"/>
  <c r="G51" i="7"/>
  <c r="D52" i="7" l="1"/>
  <c r="I47" i="14"/>
  <c r="I35" i="14"/>
  <c r="H23" i="10"/>
  <c r="H53" i="5"/>
  <c r="I36" i="14"/>
  <c r="I38" i="14" s="1"/>
  <c r="I48" i="14"/>
  <c r="F15" i="9" l="1"/>
  <c r="H54" i="5"/>
  <c r="H18" i="11"/>
  <c r="H20" i="11" s="1"/>
  <c r="D22" i="12" s="1"/>
  <c r="H24" i="10"/>
  <c r="H25" i="10" s="1"/>
  <c r="I7" i="10" s="1"/>
  <c r="I12" i="10" s="1"/>
  <c r="E52" i="7"/>
  <c r="C52" i="7"/>
  <c r="G52" i="7" l="1"/>
  <c r="D8" i="12"/>
  <c r="K8" i="12" s="1"/>
  <c r="H55" i="5"/>
  <c r="H56" i="5" s="1"/>
  <c r="F38" i="9"/>
  <c r="F39" i="9" s="1"/>
  <c r="F16" i="9"/>
  <c r="I11" i="14" l="1"/>
  <c r="F17" i="9"/>
  <c r="D9" i="12"/>
  <c r="K9" i="12" s="1"/>
  <c r="H8" i="11"/>
  <c r="H10" i="11" s="1"/>
  <c r="D53" i="7"/>
  <c r="E53" i="7" l="1"/>
  <c r="C53" i="7"/>
  <c r="D20" i="12"/>
  <c r="H14" i="11"/>
  <c r="I16" i="14"/>
  <c r="I17" i="14" s="1"/>
  <c r="F40" i="9"/>
  <c r="F41" i="9" s="1"/>
  <c r="F18" i="9"/>
  <c r="D21" i="12" l="1"/>
  <c r="H22" i="11"/>
  <c r="G53" i="7"/>
  <c r="D54" i="7" l="1"/>
  <c r="D23" i="12"/>
  <c r="H95" i="11"/>
  <c r="H24" i="11"/>
  <c r="D24" i="12" l="1"/>
  <c r="I23" i="11"/>
  <c r="E54" i="7"/>
  <c r="C54" i="7"/>
  <c r="G54" i="7" l="1"/>
  <c r="D55" i="7" l="1"/>
  <c r="E55" i="7" l="1"/>
  <c r="C55" i="7"/>
  <c r="G55" i="7" l="1"/>
  <c r="D56" i="7" l="1"/>
  <c r="E56" i="7" l="1"/>
  <c r="C56" i="7"/>
  <c r="G56" i="7" l="1"/>
  <c r="D57" i="7" l="1"/>
  <c r="E57" i="7" l="1"/>
  <c r="C57" i="7"/>
  <c r="G57" i="7" l="1"/>
  <c r="D58" i="7" l="1"/>
  <c r="E58" i="7" l="1"/>
  <c r="C58" i="7"/>
  <c r="G58" i="7" l="1"/>
  <c r="D59" i="7" l="1"/>
  <c r="E59" i="7" l="1"/>
  <c r="C59" i="7"/>
  <c r="G59" i="7" l="1"/>
  <c r="D60" i="7" l="1"/>
  <c r="E60" i="7" l="1"/>
  <c r="C60" i="7"/>
  <c r="G60" i="7" l="1"/>
  <c r="D61" i="7" l="1"/>
  <c r="E61" i="7" l="1"/>
  <c r="C61" i="7"/>
  <c r="G61" i="7" l="1"/>
  <c r="D62" i="7" l="1"/>
  <c r="E62" i="7" l="1"/>
  <c r="C62" i="7"/>
  <c r="G62" i="7" l="1"/>
  <c r="D63" i="7" l="1"/>
  <c r="E63" i="7" l="1"/>
  <c r="C63" i="7"/>
  <c r="M18" i="7"/>
  <c r="J46" i="14" l="1"/>
  <c r="J34" i="14"/>
  <c r="M17" i="7"/>
  <c r="G63" i="7"/>
  <c r="D64" i="7" l="1"/>
  <c r="J47" i="14"/>
  <c r="J35" i="14"/>
  <c r="I23" i="10"/>
  <c r="I53" i="5"/>
  <c r="J36" i="14"/>
  <c r="J38" i="14" s="1"/>
  <c r="J48" i="14"/>
  <c r="G15" i="9" l="1"/>
  <c r="I54" i="5"/>
  <c r="I18" i="11"/>
  <c r="I20" i="11" s="1"/>
  <c r="E22" i="12" s="1"/>
  <c r="I24" i="10"/>
  <c r="I25" i="10" s="1"/>
  <c r="J7" i="10" s="1"/>
  <c r="J12" i="10" s="1"/>
  <c r="E64" i="7"/>
  <c r="C64" i="7"/>
  <c r="G64" i="7" l="1"/>
  <c r="E8" i="12"/>
  <c r="L8" i="12" s="1"/>
  <c r="I55" i="5"/>
  <c r="I56" i="5" s="1"/>
  <c r="G38" i="9"/>
  <c r="G39" i="9" s="1"/>
  <c r="G16" i="9"/>
  <c r="J11" i="14" l="1"/>
  <c r="G17" i="9"/>
  <c r="E9" i="12"/>
  <c r="L9" i="12" s="1"/>
  <c r="I8" i="11"/>
  <c r="I10" i="11" s="1"/>
  <c r="D65" i="7"/>
  <c r="E65" i="7" l="1"/>
  <c r="C65" i="7"/>
  <c r="E20" i="12"/>
  <c r="I14" i="11"/>
  <c r="J16" i="14"/>
  <c r="J17" i="14" s="1"/>
  <c r="G40" i="9"/>
  <c r="G41" i="9" s="1"/>
  <c r="G18" i="9"/>
  <c r="E21" i="12" l="1"/>
  <c r="I22" i="11"/>
  <c r="G65" i="7"/>
  <c r="D66" i="7" l="1"/>
  <c r="E23" i="12"/>
  <c r="I95" i="11"/>
  <c r="I24" i="11"/>
  <c r="E24" i="12" l="1"/>
  <c r="J23" i="11"/>
  <c r="E66" i="7"/>
  <c r="C66" i="7"/>
  <c r="G66" i="7" l="1"/>
  <c r="D67" i="7" l="1"/>
  <c r="E67" i="7" l="1"/>
  <c r="C67" i="7"/>
  <c r="G67" i="7" l="1"/>
  <c r="D68" i="7" l="1"/>
  <c r="E68" i="7" l="1"/>
  <c r="C68" i="7"/>
  <c r="G68" i="7" l="1"/>
  <c r="D69" i="7" l="1"/>
  <c r="E69" i="7" l="1"/>
  <c r="C69" i="7"/>
  <c r="G69" i="7" l="1"/>
  <c r="D70" i="7" l="1"/>
  <c r="E70" i="7" l="1"/>
  <c r="C70" i="7"/>
  <c r="G70" i="7" l="1"/>
  <c r="D71" i="7" l="1"/>
  <c r="E71" i="7" l="1"/>
  <c r="C71" i="7"/>
  <c r="G71" i="7" l="1"/>
  <c r="D72" i="7" l="1"/>
  <c r="E72" i="7" l="1"/>
  <c r="C72" i="7"/>
  <c r="G72" i="7" l="1"/>
  <c r="D73" i="7" l="1"/>
  <c r="E73" i="7" l="1"/>
  <c r="C73" i="7"/>
  <c r="G73" i="7" l="1"/>
  <c r="D74" i="7" l="1"/>
  <c r="E74" i="7" l="1"/>
  <c r="C74" i="7"/>
  <c r="G74" i="7" l="1"/>
  <c r="D75" i="7" l="1"/>
  <c r="E75" i="7" l="1"/>
  <c r="E78" i="7" s="1"/>
  <c r="C75" i="7"/>
  <c r="N18" i="7"/>
  <c r="D78" i="7"/>
  <c r="K46" i="14" l="1"/>
  <c r="K34" i="14"/>
  <c r="N17" i="7"/>
  <c r="C78" i="7"/>
  <c r="G75" i="7"/>
  <c r="K47" i="14" l="1"/>
  <c r="K35" i="14"/>
  <c r="J23" i="10"/>
  <c r="J53" i="5"/>
  <c r="K36" i="14"/>
  <c r="K38" i="14" s="1"/>
  <c r="K48" i="14"/>
  <c r="F51" i="14" s="1"/>
  <c r="F53" i="14" l="1" a="1"/>
  <c r="F53" i="14" s="1"/>
  <c r="F22" i="14" a="1"/>
  <c r="F22" i="14" s="1"/>
  <c r="F29" i="14" s="1"/>
  <c r="F41" i="14"/>
  <c r="F39" i="14"/>
  <c r="H15" i="9"/>
  <c r="J54" i="5"/>
  <c r="J18" i="11"/>
  <c r="J20" i="11" s="1"/>
  <c r="F22" i="12" s="1"/>
  <c r="J24" i="10"/>
  <c r="J25" i="10" s="1"/>
  <c r="F8" i="12" l="1"/>
  <c r="M8" i="12" s="1"/>
  <c r="J55" i="5"/>
  <c r="J56" i="5" s="1"/>
  <c r="H38" i="9"/>
  <c r="H39" i="9" s="1"/>
  <c r="H16" i="9"/>
  <c r="K11" i="14" l="1"/>
  <c r="H17" i="9"/>
  <c r="F9" i="12"/>
  <c r="M9" i="12" s="1"/>
  <c r="J8" i="11"/>
  <c r="J10" i="11" s="1"/>
  <c r="F20" i="12" l="1"/>
  <c r="J14" i="11"/>
  <c r="K16" i="14"/>
  <c r="K17" i="14" s="1"/>
  <c r="F19" i="14" s="1"/>
  <c r="H40" i="9"/>
  <c r="H41" i="9" s="1"/>
  <c r="H18" i="9"/>
  <c r="F21" i="12" l="1"/>
  <c r="J22" i="11"/>
  <c r="F23" i="12" l="1"/>
  <c r="J95" i="11"/>
  <c r="J24" i="11"/>
  <c r="F2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ID#AAAAKhiPago
Soyibou NDAO    (2020-10-15 09:11:33)
Nom du cabinet si existant, sinon mettre "Interne" ou "Néant"</t>
        </r>
      </text>
    </comment>
    <comment ref="C4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ID#AAAAKhiPagg
Soyibou NDAO    (2020-10-15 09:11:33)
Indiquer le nom du commissaire aux comptes ou "Néant"</t>
        </r>
      </text>
    </comment>
    <comment ref="D15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ID#AAAAKhiPagc
Soyibou NDAO    (2020-10-15 09:11:33)
Si l'entreprise a une clientèle de masse, le préciser dans les observations et donner son profil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nK7C7Jnw68xxam9SUTRDJtZt7fw=="/>
    </ext>
  </extLst>
</comments>
</file>

<file path=xl/sharedStrings.xml><?xml version="1.0" encoding="utf-8"?>
<sst xmlns="http://schemas.openxmlformats.org/spreadsheetml/2006/main" count="644" uniqueCount="355">
  <si>
    <t>LANDING PAGE</t>
  </si>
  <si>
    <t>Données générales</t>
  </si>
  <si>
    <t>Contacts</t>
  </si>
  <si>
    <t>Nom de la structure</t>
  </si>
  <si>
    <t>DEMARCH</t>
  </si>
  <si>
    <t>Dirigeant</t>
  </si>
  <si>
    <t>Secteur d'activités</t>
  </si>
  <si>
    <t>Téléphone</t>
  </si>
  <si>
    <t>Chiffres d'affaires estimé</t>
  </si>
  <si>
    <t>Email</t>
  </si>
  <si>
    <t>Montant souhaité</t>
  </si>
  <si>
    <t>Préférence d'appel</t>
  </si>
  <si>
    <t>Montant précis</t>
  </si>
  <si>
    <t>Urgence</t>
  </si>
  <si>
    <t>Nature du besoin</t>
  </si>
  <si>
    <t>Source d'informations</t>
  </si>
  <si>
    <t>Anciennété</t>
  </si>
  <si>
    <t>Employés</t>
  </si>
  <si>
    <t>Ville / Zone</t>
  </si>
  <si>
    <t>Sommaire</t>
  </si>
  <si>
    <t>Présentation de l'entreprise</t>
  </si>
  <si>
    <t>Année de création</t>
  </si>
  <si>
    <t>Forme juridique</t>
  </si>
  <si>
    <t>Activité principale</t>
  </si>
  <si>
    <t>Adresse</t>
  </si>
  <si>
    <t>Ville</t>
  </si>
  <si>
    <t>Point focal</t>
  </si>
  <si>
    <t>Fonction</t>
  </si>
  <si>
    <t>Tel</t>
  </si>
  <si>
    <t>Informations système comptable</t>
  </si>
  <si>
    <t>Dernier exercice  clôturé</t>
  </si>
  <si>
    <t>États financiers certifiés</t>
  </si>
  <si>
    <t>Etats financiers fiannciers</t>
  </si>
  <si>
    <t>Cabinet d'assistance comptable</t>
  </si>
  <si>
    <t>OUI</t>
  </si>
  <si>
    <t>Commissaire aux comptes</t>
  </si>
  <si>
    <t>Néant</t>
  </si>
  <si>
    <t>Actionnariat</t>
  </si>
  <si>
    <t>Prénom</t>
  </si>
  <si>
    <t>Nom</t>
  </si>
  <si>
    <t>% détenu</t>
  </si>
  <si>
    <t>1-</t>
  </si>
  <si>
    <t>2-</t>
  </si>
  <si>
    <t>3-</t>
  </si>
  <si>
    <t>Total</t>
  </si>
  <si>
    <t>Management et Oragnigramme</t>
  </si>
  <si>
    <t>Fonction/ Année d'expérience</t>
  </si>
  <si>
    <t>4-</t>
  </si>
  <si>
    <t>5-</t>
  </si>
  <si>
    <t>7-</t>
  </si>
  <si>
    <t>8-</t>
  </si>
  <si>
    <t>Historique de l'entreprise</t>
  </si>
  <si>
    <t xml:space="preserve"> </t>
  </si>
  <si>
    <t>Relations bancaires</t>
  </si>
  <si>
    <t>Banque</t>
  </si>
  <si>
    <t>Engagement en cours</t>
  </si>
  <si>
    <t>N° Compte</t>
  </si>
  <si>
    <t>Ecobank</t>
  </si>
  <si>
    <t>Aucun</t>
  </si>
  <si>
    <t>Coordonnées Agence</t>
  </si>
  <si>
    <t>Agence</t>
  </si>
  <si>
    <t>N° Tel</t>
  </si>
  <si>
    <t>E-mail</t>
  </si>
  <si>
    <t>Agence mermoz</t>
  </si>
  <si>
    <t>Observations</t>
  </si>
  <si>
    <t xml:space="preserve">Aucun engagement en cours </t>
  </si>
  <si>
    <t>Activités</t>
  </si>
  <si>
    <t>Produit/service</t>
  </si>
  <si>
    <t>Part dans le CA N-1</t>
  </si>
  <si>
    <t>Part dans le CA N-2</t>
  </si>
  <si>
    <t>Liste des biens</t>
  </si>
  <si>
    <t>Principaux clients</t>
  </si>
  <si>
    <t>Nom du client</t>
  </si>
  <si>
    <t>CA sur le client N-1</t>
  </si>
  <si>
    <t>Délai de règlement</t>
  </si>
  <si>
    <t>Principaux fournisseurs</t>
  </si>
  <si>
    <t>Nom du fournisseur</t>
  </si>
  <si>
    <t>Produit</t>
  </si>
  <si>
    <t>Délai de paiement</t>
  </si>
  <si>
    <t>Liste indicative des documents à fournir</t>
  </si>
  <si>
    <t>Quincaillerie</t>
  </si>
  <si>
    <t>Ninea</t>
  </si>
  <si>
    <t>Non</t>
  </si>
  <si>
    <t>RCCM</t>
  </si>
  <si>
    <t>Copie CNI</t>
  </si>
  <si>
    <t>États financiers 2023</t>
  </si>
  <si>
    <t>États financiers 2024</t>
  </si>
  <si>
    <t>États financiers 2025</t>
  </si>
  <si>
    <t>Relevé bancaire (banque principale)</t>
  </si>
  <si>
    <t>Relevé bancaire (banque secondaire)</t>
  </si>
  <si>
    <t>Factures pro forma à jour (Investissements)</t>
  </si>
  <si>
    <t>Factures pro forma à jour (Exploitation)</t>
  </si>
  <si>
    <t>Courrier demande de financement</t>
  </si>
  <si>
    <t>Contrat d'engagement Kapit signé</t>
  </si>
  <si>
    <t xml:space="preserve">HYPOTHÈSES GENERALES </t>
  </si>
  <si>
    <t>Cellules à renseigner</t>
  </si>
  <si>
    <t>Cellules contenant des formules / Résultats générés automatiquement</t>
  </si>
  <si>
    <t>unité</t>
  </si>
  <si>
    <t>Baseline</t>
  </si>
  <si>
    <t>A. Paramètres</t>
  </si>
  <si>
    <t>Insérer noms des produit/services et modifier les autres cellules si opportun</t>
  </si>
  <si>
    <t>Région</t>
  </si>
  <si>
    <t>Dakar</t>
  </si>
  <si>
    <t>Devise</t>
  </si>
  <si>
    <t>XOF</t>
  </si>
  <si>
    <t>Offre de Produits/Services</t>
  </si>
  <si>
    <t>Matière 1ère</t>
  </si>
  <si>
    <t>Produit/Service 1</t>
  </si>
  <si>
    <t>Produit 1</t>
  </si>
  <si>
    <t>Matière 1ère A</t>
  </si>
  <si>
    <t>Matière A</t>
  </si>
  <si>
    <t>Produit/Service 2</t>
  </si>
  <si>
    <t>Produit 2</t>
  </si>
  <si>
    <t>Matière B</t>
  </si>
  <si>
    <t>Produit/Service 3</t>
  </si>
  <si>
    <t>Produit 3</t>
  </si>
  <si>
    <t>Matière C</t>
  </si>
  <si>
    <t>Produit/Service 4</t>
  </si>
  <si>
    <t>Produit 4</t>
  </si>
  <si>
    <t>Matière D</t>
  </si>
  <si>
    <t>Produit/Service 5</t>
  </si>
  <si>
    <t>Produit 5</t>
  </si>
  <si>
    <t>Matière E</t>
  </si>
  <si>
    <t>Taux Impôt sur les sociétés</t>
  </si>
  <si>
    <t>%</t>
  </si>
  <si>
    <t>Taux d'intérêt emprunts</t>
  </si>
  <si>
    <t>Taux d'inflation</t>
  </si>
  <si>
    <t>Jours par an</t>
  </si>
  <si>
    <t>jours</t>
  </si>
  <si>
    <t>Nombre de mensualité</t>
  </si>
  <si>
    <t>mois</t>
  </si>
  <si>
    <t>Nb semaines par an</t>
  </si>
  <si>
    <t>semaines</t>
  </si>
  <si>
    <t>Délais de paiement des clients</t>
  </si>
  <si>
    <t>Délais fournisseurs</t>
  </si>
  <si>
    <t>Délais de rotation des stocks</t>
  </si>
  <si>
    <t>Taux Amortissements Immo</t>
  </si>
  <si>
    <t>Terrains</t>
  </si>
  <si>
    <t>An</t>
  </si>
  <si>
    <t>Batiments &amp; travaux publics</t>
  </si>
  <si>
    <t>Aménagement, agencement et Installation</t>
  </si>
  <si>
    <t>Matériel d'exploitation</t>
  </si>
  <si>
    <t>Véhicule</t>
  </si>
  <si>
    <t>Matériel et outillage</t>
  </si>
  <si>
    <t>Matériel et Mobilier de bureau</t>
  </si>
  <si>
    <t>Stress test</t>
  </si>
  <si>
    <t>B. Hypothèses d'exploitation</t>
  </si>
  <si>
    <t>Mettre les volumes constatés durant l'année de référence</t>
  </si>
  <si>
    <t>Recettes</t>
  </si>
  <si>
    <t>Charges</t>
  </si>
  <si>
    <t>Qté/Unité/mois</t>
  </si>
  <si>
    <t>Prix (FCFA)</t>
  </si>
  <si>
    <t>Total Mensuel (FCFA)</t>
  </si>
  <si>
    <t>Quantité/Jour</t>
  </si>
  <si>
    <t>Nbre</t>
  </si>
  <si>
    <t>Prix</t>
  </si>
  <si>
    <t>FCFA</t>
  </si>
  <si>
    <t>Quantité vendue/Jour</t>
  </si>
  <si>
    <t>C. Taux de croissance</t>
  </si>
  <si>
    <t>Modifier si opportun</t>
  </si>
  <si>
    <t>Coûts</t>
  </si>
  <si>
    <t>Coûts directs</t>
  </si>
  <si>
    <t>Salaires &amp; traitements</t>
  </si>
  <si>
    <t>Achat de matière et fourniture liée</t>
  </si>
  <si>
    <t xml:space="preserve">Autres achats </t>
  </si>
  <si>
    <t>Eau</t>
  </si>
  <si>
    <t>Electricité</t>
  </si>
  <si>
    <t>Téléphone et internet</t>
  </si>
  <si>
    <t>Fourniture de bureau</t>
  </si>
  <si>
    <t>Entretien</t>
  </si>
  <si>
    <t>Achat de prestation de service</t>
  </si>
  <si>
    <t>Achat d'emballage</t>
  </si>
  <si>
    <t>Carburant</t>
  </si>
  <si>
    <t>Rabais, Remises et Ristourne</t>
  </si>
  <si>
    <t>Transport</t>
  </si>
  <si>
    <t>Services Extérieurs</t>
  </si>
  <si>
    <t>Location</t>
  </si>
  <si>
    <t>Impôt et Taxes</t>
  </si>
  <si>
    <t>Autres charges</t>
  </si>
  <si>
    <t>Consommation d'électricité</t>
  </si>
  <si>
    <t>Charges salariales</t>
  </si>
  <si>
    <t>Année</t>
  </si>
  <si>
    <t>Nom employé</t>
  </si>
  <si>
    <t>Revenu Brut Mensuel</t>
  </si>
  <si>
    <t>Revenu Brut Annuel</t>
  </si>
  <si>
    <t>Janvier</t>
  </si>
  <si>
    <t>A</t>
  </si>
  <si>
    <t>février</t>
  </si>
  <si>
    <t>B</t>
  </si>
  <si>
    <t>mars</t>
  </si>
  <si>
    <t>C</t>
  </si>
  <si>
    <t>avril</t>
  </si>
  <si>
    <t>D</t>
  </si>
  <si>
    <t>mai</t>
  </si>
  <si>
    <t>E</t>
  </si>
  <si>
    <t>juin</t>
  </si>
  <si>
    <t>F</t>
  </si>
  <si>
    <t>juillet</t>
  </si>
  <si>
    <t>G</t>
  </si>
  <si>
    <t>août</t>
  </si>
  <si>
    <t>H</t>
  </si>
  <si>
    <t>septembre</t>
  </si>
  <si>
    <t>I</t>
  </si>
  <si>
    <t>octobre</t>
  </si>
  <si>
    <t>J</t>
  </si>
  <si>
    <t>novembre</t>
  </si>
  <si>
    <t>K</t>
  </si>
  <si>
    <t>décembre</t>
  </si>
  <si>
    <t>L</t>
  </si>
  <si>
    <t>Consommation d'eau</t>
  </si>
  <si>
    <t>Consommation Téléphone</t>
  </si>
  <si>
    <t>COMPTE D'EXPLOITATION PREVISIONNEL</t>
  </si>
  <si>
    <t xml:space="preserve">tot. </t>
  </si>
  <si>
    <t>Total Chiffre d'affaires</t>
  </si>
  <si>
    <t>Coûts Directs</t>
  </si>
  <si>
    <t>Marge brute</t>
  </si>
  <si>
    <t>Excédent brut d'exploitation</t>
  </si>
  <si>
    <t>Dotation aux amortissement</t>
  </si>
  <si>
    <t>Dotation aux amortissement/ Investissement</t>
  </si>
  <si>
    <t>Dotation aux amortissement/ Immo. Existant</t>
  </si>
  <si>
    <t>Résultat d'exploitation</t>
  </si>
  <si>
    <t xml:space="preserve">Charges financières </t>
  </si>
  <si>
    <t>Résultat AO</t>
  </si>
  <si>
    <t>IS</t>
  </si>
  <si>
    <t>Résultat net</t>
  </si>
  <si>
    <t>Investissements</t>
  </si>
  <si>
    <t>Aménagements</t>
  </si>
  <si>
    <t>Quantité</t>
  </si>
  <si>
    <t>Unité</t>
  </si>
  <si>
    <t>Prix Unitaire</t>
  </si>
  <si>
    <t>Prix Total</t>
  </si>
  <si>
    <t>travaux de construction et d'aménagement</t>
  </si>
  <si>
    <t>u</t>
  </si>
  <si>
    <t>Carrelage</t>
  </si>
  <si>
    <t>Menuiserie</t>
  </si>
  <si>
    <t>Peinture</t>
  </si>
  <si>
    <t>Plomberie</t>
  </si>
  <si>
    <t>Visuel</t>
  </si>
  <si>
    <t>Matériel de Production</t>
  </si>
  <si>
    <t>Autres investissements</t>
  </si>
  <si>
    <t>Terrain</t>
  </si>
  <si>
    <t>Batiment</t>
  </si>
  <si>
    <t>équipement solaire</t>
  </si>
  <si>
    <t>Dotation aux amortissements</t>
  </si>
  <si>
    <t>DOTATION AUX AMORTISSEMENTS</t>
  </si>
  <si>
    <t>Rubrique</t>
  </si>
  <si>
    <t>Montant</t>
  </si>
  <si>
    <t>Taux</t>
  </si>
  <si>
    <t>Annuité</t>
  </si>
  <si>
    <t>Autres matériels et outillages</t>
  </si>
  <si>
    <t>montant</t>
  </si>
  <si>
    <t>durée (mois)</t>
  </si>
  <si>
    <t>différé (mois)</t>
  </si>
  <si>
    <t>taux (%)</t>
  </si>
  <si>
    <t>échéance</t>
  </si>
  <si>
    <t>assurance (%)</t>
  </si>
  <si>
    <t>tob (%)</t>
  </si>
  <si>
    <t>tx synthétique</t>
  </si>
  <si>
    <t>ech différé</t>
  </si>
  <si>
    <t>coût ct</t>
  </si>
  <si>
    <t>n°</t>
  </si>
  <si>
    <t>principal</t>
  </si>
  <si>
    <t>profit</t>
  </si>
  <si>
    <t>tob</t>
  </si>
  <si>
    <t>annuité</t>
  </si>
  <si>
    <t>restant dû</t>
  </si>
  <si>
    <t>Remboursement en capital</t>
  </si>
  <si>
    <t>Intérêts + TOB</t>
  </si>
  <si>
    <t>Rurbiques</t>
  </si>
  <si>
    <t>Chiffre d'affaires</t>
  </si>
  <si>
    <t>Salaires</t>
  </si>
  <si>
    <t>Autres charges d'exploitation</t>
  </si>
  <si>
    <t>DAP</t>
  </si>
  <si>
    <t>Charges d'intérêts</t>
  </si>
  <si>
    <t>Résultat avant impôt</t>
  </si>
  <si>
    <t>COMPTE D'EXPLOITATION PREVISIONNEL STRESSE</t>
  </si>
  <si>
    <t>Stress Test</t>
  </si>
  <si>
    <t xml:space="preserve">                        -     </t>
  </si>
  <si>
    <t>Plan de trésorerie</t>
  </si>
  <si>
    <t>Solde début de période</t>
  </si>
  <si>
    <t>tot. Elev</t>
  </si>
  <si>
    <t>Encaissement</t>
  </si>
  <si>
    <t>Vente de services</t>
  </si>
  <si>
    <t>Emprunt</t>
  </si>
  <si>
    <t>Décaissement</t>
  </si>
  <si>
    <t>Investissement</t>
  </si>
  <si>
    <t>Remboursement emprunt+Intérêt</t>
  </si>
  <si>
    <t>Total Décaissement</t>
  </si>
  <si>
    <t>Solde fin de période</t>
  </si>
  <si>
    <t>Cash-flow</t>
  </si>
  <si>
    <t>En milliers</t>
  </si>
  <si>
    <t>TOTAL RESSOURCES</t>
  </si>
  <si>
    <t>Résultat Net</t>
  </si>
  <si>
    <t>Dotation aux Amortissements</t>
  </si>
  <si>
    <t>Capacité d'autofinancement</t>
  </si>
  <si>
    <t>Apport en capital</t>
  </si>
  <si>
    <t>Fond de roulement</t>
  </si>
  <si>
    <t>TOTAL INFLOW</t>
  </si>
  <si>
    <t>Cycle de financement</t>
  </si>
  <si>
    <t>Remboursement des emprunts (Service de la dette)</t>
  </si>
  <si>
    <t>Dotation Fonds de roulement</t>
  </si>
  <si>
    <t>TOTAL OUTFLOW</t>
  </si>
  <si>
    <t>CASHFLOW NET</t>
  </si>
  <si>
    <t>Solde treso d'ouverture</t>
  </si>
  <si>
    <t>Solde tréso de cloture</t>
  </si>
  <si>
    <t>Fonds de roulement (planning)</t>
  </si>
  <si>
    <t>Délais clients</t>
  </si>
  <si>
    <t>Rotation des stocks</t>
  </si>
  <si>
    <t>Besoin en fonds de roulement</t>
  </si>
  <si>
    <t>Variation du Besoin en fonds de roulement</t>
  </si>
  <si>
    <t>Year 0</t>
  </si>
  <si>
    <t>Cash flow</t>
  </si>
  <si>
    <t>Analyse de la performance</t>
  </si>
  <si>
    <t>CROISSANCE</t>
  </si>
  <si>
    <t>Chiffre d'affaire</t>
  </si>
  <si>
    <t>CA</t>
  </si>
  <si>
    <t>Exédent Brut d'exploitation</t>
  </si>
  <si>
    <t>EBE</t>
  </si>
  <si>
    <t>REX</t>
  </si>
  <si>
    <t>RN</t>
  </si>
  <si>
    <t>Nombre d'éléve</t>
  </si>
  <si>
    <t>Analyse Cash flow</t>
  </si>
  <si>
    <t>CAF</t>
  </si>
  <si>
    <t>Cashflow IN</t>
  </si>
  <si>
    <t>Cashflow OUT</t>
  </si>
  <si>
    <t>Cashflow Net</t>
  </si>
  <si>
    <t>Trésorerie Net</t>
  </si>
  <si>
    <t>Rentabilité financière</t>
  </si>
  <si>
    <t>+ EBE (&gt;0)</t>
  </si>
  <si>
    <t>-Variation du BFE</t>
  </si>
  <si>
    <t xml:space="preserve">  - Investissements</t>
  </si>
  <si>
    <t>- EBE (&lt;0)</t>
  </si>
  <si>
    <t>= Flux projet (Cash Flows)</t>
  </si>
  <si>
    <t>TRI projet avant impôts</t>
  </si>
  <si>
    <t>- Impôts sur les bénéfices</t>
  </si>
  <si>
    <t>= Flux projet</t>
  </si>
  <si>
    <t>TRI projet après impôts</t>
  </si>
  <si>
    <t>Valeur actuelle nette</t>
  </si>
  <si>
    <t>Délais de Récupération du Capital investi</t>
  </si>
  <si>
    <t>Flux monétaires cumulés</t>
  </si>
  <si>
    <t>DRCI</t>
  </si>
  <si>
    <t>années</t>
  </si>
  <si>
    <t>Indice de profitabilité</t>
  </si>
  <si>
    <t>Ratios annuels de couverture de la dette</t>
  </si>
  <si>
    <t>Trésorerie disponible avant service de la dette commerciale</t>
  </si>
  <si>
    <t>Intérêts</t>
  </si>
  <si>
    <t>Amortissement du principal</t>
  </si>
  <si>
    <t>Service de la dette commerciale</t>
  </si>
  <si>
    <t>DSCR annuel</t>
  </si>
  <si>
    <t>DSCR annuel minimum</t>
  </si>
  <si>
    <t>Ratios acturariels de couverture de la dette</t>
  </si>
  <si>
    <t>+ Tirage dette</t>
  </si>
  <si>
    <t>Solde des flux financiers dette commerciale</t>
  </si>
  <si>
    <t>Taux actuariel annuel de la dette commerciale</t>
  </si>
  <si>
    <t>LLCR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</si>
</sst>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 Activités menées en &quot;###0"/>
    <numFmt numFmtId="165" formatCode="#,##0&quot; h.&quot;"/>
    <numFmt numFmtId="166" formatCode="_ * #,##0_)\ _C_F_A_ ;_ * \(#,##0\)\ _C_F_A_ ;_ * &quot;-&quot;_)\ _C_F_A_ ;_ @_ "/>
    <numFmt numFmtId="167" formatCode="_(* #,##0,_);[Red]_(* \(#,##0,\);_(* &quot;-&quot;??_);_(@_)"/>
    <numFmt numFmtId="168" formatCode="_ * #,##0_)_ ;_ * \(#,##0\)_ ;_ * &quot;-&quot;_)_ ;_ @_ "/>
    <numFmt numFmtId="169" formatCode="_(* #,###,_);_(* \(#,###,\);_(* &quot;-&quot;??_);_(@_)"/>
    <numFmt numFmtId="170" formatCode="_ * #,##0.00_)\ _C_F_A_ ;_ * \(#,##0.00\)\ _C_F_A_ ;_ * &quot;-&quot;_)\ _C_F_A_ ;_ @_ "/>
    <numFmt numFmtId="171" formatCode="0.0%"/>
    <numFmt numFmtId="172" formatCode="_-* #,##0\ _€_-;\-* #,##0\ _€_-;_-* &quot;-&quot;??\ _€_-;_-@"/>
    <numFmt numFmtId="173" formatCode="0.000_ ;\-0.000\ "/>
    <numFmt numFmtId="174" formatCode="0_ ;\-0\ "/>
    <numFmt numFmtId="175" formatCode="0.000000"/>
    <numFmt numFmtId="176" formatCode="#,##0.00__"/>
    <numFmt numFmtId="177" formatCode="_(* #,##0.00_);_(* \(#,##0.00\);_(* &quot;-&quot;??_);_(@_)"/>
    <numFmt numFmtId="178" formatCode="#,##0;\(#,##0\);&quot;-&quot;"/>
    <numFmt numFmtId="179" formatCode="#,##0_);\(#,##0_)"/>
    <numFmt numFmtId="180" formatCode="_ * #,##0.0_)_ ;_ * \(#,##0.0\)_ ;_ * &quot;-&quot;_)_ ;_ @_ "/>
    <numFmt numFmtId="181" formatCode="0.0"/>
  </numFmts>
  <fonts count="8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22"/>
      <color theme="9"/>
      <name val="Century Gothic"/>
      <family val="2"/>
    </font>
    <font>
      <b/>
      <sz val="18"/>
      <color rgb="FFFFFFFF"/>
      <name val="Century Gothic"/>
      <family val="2"/>
    </font>
    <font>
      <sz val="11"/>
      <name val="Calibri"/>
      <family val="2"/>
    </font>
    <font>
      <b/>
      <sz val="12"/>
      <color theme="1"/>
      <name val="Century Gothic"/>
      <family val="2"/>
    </font>
    <font>
      <sz val="10"/>
      <color rgb="FF000000"/>
      <name val="Century Gothic"/>
      <family val="2"/>
    </font>
    <font>
      <sz val="9"/>
      <color rgb="FF000000"/>
      <name val="Century Gothic"/>
      <family val="2"/>
    </font>
    <font>
      <b/>
      <sz val="10"/>
      <color rgb="FFDD0806"/>
      <name val="Century Gothic"/>
      <family val="2"/>
    </font>
    <font>
      <sz val="11"/>
      <color rgb="FF0563C1"/>
      <name val="Arial"/>
      <family val="2"/>
    </font>
    <font>
      <b/>
      <sz val="10"/>
      <color theme="1"/>
      <name val="Century Gothic"/>
      <family val="2"/>
    </font>
    <font>
      <sz val="10"/>
      <color rgb="FFDD0806"/>
      <name val="Century Gothic"/>
      <family val="2"/>
    </font>
    <font>
      <sz val="8"/>
      <color rgb="FFFF0000"/>
      <name val="Century Gothic"/>
      <family val="2"/>
    </font>
    <font>
      <sz val="14"/>
      <color rgb="FF000000"/>
      <name val="Century Gothic"/>
      <family val="2"/>
    </font>
    <font>
      <b/>
      <sz val="20"/>
      <color theme="9"/>
      <name val="Century Gothic"/>
      <family val="2"/>
    </font>
    <font>
      <sz val="10"/>
      <color theme="0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entury Gothic"/>
      <family val="2"/>
    </font>
    <font>
      <i/>
      <sz val="10"/>
      <color rgb="FFA5A5A5"/>
      <name val="Century Gothic"/>
      <family val="2"/>
    </font>
    <font>
      <i/>
      <sz val="11"/>
      <color rgb="FFC00000"/>
      <name val="Century Gothic"/>
      <family val="2"/>
    </font>
    <font>
      <b/>
      <sz val="12"/>
      <color theme="0"/>
      <name val="Century Gothic"/>
      <family val="2"/>
    </font>
    <font>
      <sz val="11"/>
      <color theme="0"/>
      <name val="Century Gothic"/>
      <family val="2"/>
    </font>
    <font>
      <i/>
      <sz val="11"/>
      <color theme="1"/>
      <name val="Century Gothic"/>
      <family val="2"/>
    </font>
    <font>
      <i/>
      <sz val="10"/>
      <color theme="1"/>
      <name val="Century Gothic"/>
      <family val="2"/>
    </font>
    <font>
      <sz val="11"/>
      <color rgb="FF000000"/>
      <name val="Century Gothic"/>
      <family val="2"/>
    </font>
    <font>
      <i/>
      <sz val="9"/>
      <color theme="1"/>
      <name val="Century Gothic"/>
      <family val="2"/>
    </font>
    <font>
      <b/>
      <sz val="11"/>
      <color theme="5"/>
      <name val="Century Gothic"/>
      <family val="2"/>
    </font>
    <font>
      <b/>
      <sz val="11"/>
      <color rgb="FFC00000"/>
      <name val="Century Gothic"/>
      <family val="2"/>
    </font>
    <font>
      <sz val="11"/>
      <color theme="1"/>
      <name val="Arial"/>
      <family val="2"/>
    </font>
    <font>
      <b/>
      <sz val="22"/>
      <color rgb="FF70AD47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Times"/>
    </font>
    <font>
      <b/>
      <sz val="12"/>
      <color theme="9"/>
      <name val="Century Gothic"/>
      <family val="2"/>
    </font>
    <font>
      <sz val="11"/>
      <color theme="1"/>
      <name val="Times New Roman"/>
      <family val="1"/>
    </font>
    <font>
      <sz val="8"/>
      <color rgb="FFA5A5A5"/>
      <name val="Century Gothic"/>
      <family val="2"/>
    </font>
    <font>
      <i/>
      <sz val="9"/>
      <color rgb="FFA5A5A5"/>
      <name val="Century Gothic"/>
      <family val="2"/>
    </font>
    <font>
      <b/>
      <sz val="9"/>
      <color theme="1"/>
      <name val="Century Gothic"/>
      <family val="2"/>
    </font>
    <font>
      <i/>
      <sz val="9"/>
      <color rgb="FF7F7F7F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b/>
      <sz val="11"/>
      <color theme="1"/>
      <name val="Calibri"/>
      <family val="2"/>
    </font>
    <font>
      <b/>
      <i/>
      <sz val="10"/>
      <color rgb="FF000000"/>
      <name val="Century Gothic"/>
      <family val="2"/>
    </font>
    <font>
      <b/>
      <i/>
      <sz val="9"/>
      <color theme="1"/>
      <name val="Century Gothic"/>
      <family val="2"/>
    </font>
    <font>
      <i/>
      <sz val="8"/>
      <color theme="1"/>
      <name val="Century Gothic"/>
      <family val="2"/>
    </font>
    <font>
      <i/>
      <sz val="11"/>
      <color theme="1"/>
      <name val="Calibri"/>
      <family val="2"/>
      <scheme val="minor"/>
    </font>
    <font>
      <b/>
      <sz val="10"/>
      <color theme="5"/>
      <name val="Century Gothic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366092"/>
      <name val="Arial"/>
      <family val="2"/>
    </font>
    <font>
      <b/>
      <sz val="11"/>
      <color rgb="FF366092"/>
      <name val="Calibri"/>
      <family val="2"/>
    </font>
    <font>
      <sz val="11"/>
      <color rgb="FF974806"/>
      <name val="Calibri"/>
      <family val="2"/>
    </font>
    <font>
      <b/>
      <sz val="11"/>
      <color rgb="FF974806"/>
      <name val="Calibri"/>
      <family val="2"/>
    </font>
    <font>
      <sz val="11"/>
      <color rgb="FF000000"/>
      <name val="Arial"/>
      <family val="2"/>
    </font>
    <font>
      <b/>
      <sz val="9"/>
      <color rgb="FF000000"/>
      <name val="Century Gothic"/>
      <family val="2"/>
    </font>
    <font>
      <b/>
      <sz val="11"/>
      <color rgb="FFED7D31"/>
      <name val="Century Gothic"/>
      <family val="2"/>
    </font>
    <font>
      <b/>
      <sz val="10"/>
      <color rgb="FFED7D31"/>
      <name val="Century Gothic"/>
      <family val="2"/>
    </font>
    <font>
      <b/>
      <sz val="14"/>
      <color rgb="FFFF0000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sz val="12"/>
      <color theme="1"/>
      <name val="Arial"/>
      <family val="2"/>
    </font>
    <font>
      <sz val="24"/>
      <color rgb="FFC00000"/>
      <name val="Century Gothic"/>
      <family val="2"/>
    </font>
    <font>
      <b/>
      <sz val="10"/>
      <color rgb="FFC00000"/>
      <name val="Century Gothic"/>
      <family val="2"/>
    </font>
    <font>
      <b/>
      <sz val="8"/>
      <color rgb="FFC00000"/>
      <name val="Century Gothic"/>
      <family val="2"/>
    </font>
    <font>
      <b/>
      <sz val="9"/>
      <color rgb="FFC00000"/>
      <name val="Century Gothic"/>
      <family val="2"/>
    </font>
    <font>
      <b/>
      <sz val="12"/>
      <color rgb="FF1F3864"/>
      <name val="Century Gothic"/>
      <family val="2"/>
    </font>
    <font>
      <b/>
      <sz val="10"/>
      <color rgb="FF1F3864"/>
      <name val="Century Gothic"/>
      <family val="2"/>
    </font>
    <font>
      <i/>
      <sz val="10"/>
      <color theme="8"/>
      <name val="Century Gothic"/>
      <family val="2"/>
    </font>
    <font>
      <b/>
      <sz val="11"/>
      <color rgb="FF1F3864"/>
      <name val="Century Gothic"/>
      <family val="2"/>
    </font>
    <font>
      <b/>
      <i/>
      <sz val="10"/>
      <color rgb="FF1F3864"/>
      <name val="Century Gothic"/>
      <family val="2"/>
    </font>
    <font>
      <b/>
      <sz val="22"/>
      <color rgb="FF000000"/>
      <name val="Century Gothic"/>
      <family val="2"/>
    </font>
    <font>
      <sz val="24"/>
      <color rgb="FF000000"/>
      <name val="Century Gothic"/>
      <family val="2"/>
    </font>
    <font>
      <sz val="10"/>
      <color rgb="FF000000"/>
      <name val="Calibri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ED7D31"/>
      <name val="Century Gothic"/>
      <family val="2"/>
    </font>
    <font>
      <sz val="12"/>
      <color theme="1"/>
      <name val="Century Gothic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D9D9D9"/>
        <bgColor rgb="FFD9D9D9"/>
      </patternFill>
    </fill>
    <fill>
      <patternFill patternType="solid">
        <fgColor rgb="FFDAEEF3"/>
        <bgColor rgb="FFDAEEF3"/>
      </patternFill>
    </fill>
    <fill>
      <patternFill patternType="solid">
        <fgColor rgb="FFDBDBDB"/>
        <bgColor rgb="FFDBDBDB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rgb="FF000000"/>
        <bgColor rgb="FF000000"/>
      </patternFill>
    </fill>
    <fill>
      <patternFill patternType="solid">
        <fgColor rgb="FFDEEAF6"/>
        <bgColor rgb="FFDEEAF6"/>
      </patternFill>
    </fill>
  </fills>
  <borders count="52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ck">
        <color rgb="FF7F7F7F"/>
      </bottom>
      <diagonal/>
    </border>
    <border>
      <left/>
      <right/>
      <top style="thin">
        <color rgb="FF7F7F7F"/>
      </top>
      <bottom style="thick">
        <color rgb="FF7F7F7F"/>
      </bottom>
      <diagonal/>
    </border>
    <border>
      <left/>
      <right style="thick">
        <color rgb="FF7F7F7F"/>
      </right>
      <top style="thin">
        <color rgb="FF7F7F7F"/>
      </top>
      <bottom style="thick">
        <color rgb="FF7F7F7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A5A5A5"/>
      </left>
      <right/>
      <top/>
      <bottom/>
      <diagonal/>
    </border>
    <border>
      <left style="hair">
        <color rgb="FFA5A5A5"/>
      </left>
      <right/>
      <top style="hair">
        <color rgb="FFA5A5A5"/>
      </top>
      <bottom style="hair">
        <color rgb="FFA5A5A5"/>
      </bottom>
      <diagonal/>
    </border>
    <border>
      <left/>
      <right/>
      <top style="hair">
        <color rgb="FFA5A5A5"/>
      </top>
      <bottom style="hair">
        <color rgb="FFA5A5A5"/>
      </bottom>
      <diagonal/>
    </border>
    <border>
      <left/>
      <right style="hair">
        <color rgb="FFA5A5A5"/>
      </right>
      <top style="hair">
        <color rgb="FFA5A5A5"/>
      </top>
      <bottom style="hair">
        <color rgb="FFA5A5A5"/>
      </bottom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/>
      <right/>
      <top/>
      <bottom style="dotted">
        <color theme="5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dotted">
        <color theme="5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dotted">
        <color rgb="FFED7D3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theme="7"/>
      </top>
      <bottom style="double">
        <color theme="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7F7F7F"/>
      </bottom>
      <diagonal/>
    </border>
    <border>
      <left/>
      <right/>
      <top/>
      <bottom/>
      <diagonal/>
    </border>
    <border>
      <left/>
      <right/>
      <top style="thin">
        <color theme="5"/>
      </top>
      <bottom style="hair">
        <color rgb="FF7F7F7F"/>
      </bottom>
      <diagonal/>
    </border>
    <border>
      <left/>
      <right/>
      <top style="thin">
        <color theme="5"/>
      </top>
      <bottom/>
      <diagonal/>
    </border>
    <border>
      <left style="thin">
        <color rgb="FF7F7F7F"/>
      </left>
      <right/>
      <top/>
      <bottom/>
      <diagonal/>
    </border>
  </borders>
  <cellStyleXfs count="2">
    <xf numFmtId="0" fontId="0" fillId="0" borderId="0"/>
    <xf numFmtId="0" fontId="80" fillId="0" borderId="0" applyNumberFormat="0" applyFill="0" applyBorder="0" applyAlignment="0" applyProtection="0"/>
  </cellStyleXfs>
  <cellXfs count="386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49" fontId="10" fillId="7" borderId="4" xfId="0" applyNumberFormat="1" applyFont="1" applyFill="1" applyBorder="1" applyAlignment="1">
      <alignment horizontal="center" vertical="center"/>
    </xf>
    <xf numFmtId="165" fontId="10" fillId="6" borderId="4" xfId="0" applyNumberFormat="1" applyFont="1" applyFill="1" applyBorder="1" applyAlignment="1">
      <alignment horizontal="center" vertical="center"/>
    </xf>
    <xf numFmtId="9" fontId="10" fillId="8" borderId="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49" fontId="10" fillId="6" borderId="4" xfId="0" applyNumberFormat="1" applyFont="1" applyFill="1" applyBorder="1" applyAlignment="1">
      <alignment horizontal="center" vertical="center"/>
    </xf>
    <xf numFmtId="49" fontId="10" fillId="8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10" fillId="7" borderId="4" xfId="0" applyFont="1" applyFill="1" applyBorder="1" applyAlignment="1">
      <alignment horizontal="center" vertical="center"/>
    </xf>
    <xf numFmtId="166" fontId="10" fillId="8" borderId="6" xfId="0" applyNumberFormat="1" applyFont="1" applyFill="1" applyBorder="1" applyAlignment="1">
      <alignment horizontal="center" vertical="center"/>
    </xf>
    <xf numFmtId="49" fontId="10" fillId="6" borderId="7" xfId="0" applyNumberFormat="1" applyFont="1" applyFill="1" applyBorder="1" applyAlignment="1">
      <alignment horizontal="center" vertical="center"/>
    </xf>
    <xf numFmtId="166" fontId="10" fillId="8" borderId="4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166" fontId="10" fillId="6" borderId="4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9" fillId="5" borderId="1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49" fontId="10" fillId="7" borderId="4" xfId="0" applyNumberFormat="1" applyFont="1" applyFill="1" applyBorder="1" applyAlignment="1">
      <alignment horizontal="left" vertical="center"/>
    </xf>
    <xf numFmtId="0" fontId="5" fillId="0" borderId="0" xfId="0" applyFont="1"/>
    <xf numFmtId="0" fontId="20" fillId="0" borderId="0" xfId="0" applyFont="1"/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3" fillId="0" borderId="0" xfId="0" applyFont="1" applyAlignment="1">
      <alignment horizontal="left"/>
    </xf>
    <xf numFmtId="0" fontId="3" fillId="0" borderId="0" xfId="0" applyFont="1"/>
    <xf numFmtId="0" fontId="2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9" fontId="4" fillId="6" borderId="23" xfId="0" applyNumberFormat="1" applyFont="1" applyFill="1" applyBorder="1"/>
    <xf numFmtId="0" fontId="16" fillId="0" borderId="0" xfId="0" applyFont="1"/>
    <xf numFmtId="4" fontId="4" fillId="6" borderId="23" xfId="0" applyNumberFormat="1" applyFont="1" applyFill="1" applyBorder="1"/>
    <xf numFmtId="9" fontId="4" fillId="0" borderId="0" xfId="0" applyNumberFormat="1" applyFont="1"/>
    <xf numFmtId="1" fontId="10" fillId="6" borderId="23" xfId="0" applyNumberFormat="1" applyFont="1" applyFill="1" applyBorder="1"/>
    <xf numFmtId="0" fontId="28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166" fontId="4" fillId="6" borderId="23" xfId="0" applyNumberFormat="1" applyFont="1" applyFill="1" applyBorder="1"/>
    <xf numFmtId="9" fontId="4" fillId="6" borderId="2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0" fillId="0" borderId="24" xfId="0" applyFont="1" applyBorder="1"/>
    <xf numFmtId="0" fontId="28" fillId="0" borderId="24" xfId="0" applyFont="1" applyBorder="1"/>
    <xf numFmtId="0" fontId="31" fillId="0" borderId="24" xfId="0" applyFont="1" applyBorder="1"/>
    <xf numFmtId="2" fontId="4" fillId="0" borderId="0" xfId="0" applyNumberFormat="1" applyFont="1"/>
    <xf numFmtId="0" fontId="14" fillId="0" borderId="0" xfId="0" applyFont="1"/>
    <xf numFmtId="166" fontId="4" fillId="5" borderId="23" xfId="0" applyNumberFormat="1" applyFont="1" applyFill="1" applyBorder="1"/>
    <xf numFmtId="0" fontId="27" fillId="0" borderId="0" xfId="0" applyFont="1"/>
    <xf numFmtId="166" fontId="4" fillId="0" borderId="0" xfId="0" applyNumberFormat="1" applyFont="1"/>
    <xf numFmtId="0" fontId="32" fillId="0" borderId="0" xfId="0" applyFont="1"/>
    <xf numFmtId="9" fontId="4" fillId="5" borderId="23" xfId="0" applyNumberFormat="1" applyFont="1" applyFill="1" applyBorder="1"/>
    <xf numFmtId="0" fontId="29" fillId="0" borderId="0" xfId="0" applyFont="1"/>
    <xf numFmtId="0" fontId="23" fillId="0" borderId="0" xfId="0" applyFont="1"/>
    <xf numFmtId="2" fontId="3" fillId="0" borderId="0" xfId="0" applyNumberFormat="1" applyFont="1"/>
    <xf numFmtId="166" fontId="20" fillId="5" borderId="23" xfId="0" applyNumberFormat="1" applyFont="1" applyFill="1" applyBorder="1"/>
    <xf numFmtId="0" fontId="34" fillId="0" borderId="0" xfId="0" applyFont="1"/>
    <xf numFmtId="0" fontId="35" fillId="0" borderId="0" xfId="0" applyFont="1"/>
    <xf numFmtId="0" fontId="6" fillId="0" borderId="0" xfId="0" applyFont="1" applyAlignment="1">
      <alignment horizontal="center" vertical="center"/>
    </xf>
    <xf numFmtId="166" fontId="36" fillId="12" borderId="0" xfId="0" applyNumberFormat="1" applyFont="1" applyFill="1" applyAlignment="1">
      <alignment horizontal="center" vertical="center"/>
    </xf>
    <xf numFmtId="166" fontId="34" fillId="12" borderId="0" xfId="0" applyNumberFormat="1" applyFont="1" applyFill="1"/>
    <xf numFmtId="0" fontId="37" fillId="0" borderId="0" xfId="0" applyFont="1"/>
    <xf numFmtId="166" fontId="4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9" fontId="41" fillId="0" borderId="0" xfId="0" applyNumberFormat="1" applyFont="1" applyAlignment="1">
      <alignment horizontal="right" vertical="center"/>
    </xf>
    <xf numFmtId="166" fontId="31" fillId="0" borderId="24" xfId="0" applyNumberFormat="1" applyFont="1" applyBorder="1"/>
    <xf numFmtId="0" fontId="40" fillId="0" borderId="0" xfId="0" applyFont="1" applyAlignment="1">
      <alignment vertical="center"/>
    </xf>
    <xf numFmtId="167" fontId="42" fillId="0" borderId="25" xfId="0" applyNumberFormat="1" applyFont="1" applyBorder="1" applyAlignment="1">
      <alignment vertical="center"/>
    </xf>
    <xf numFmtId="9" fontId="5" fillId="0" borderId="25" xfId="0" applyNumberFormat="1" applyFont="1" applyBorder="1" applyAlignment="1">
      <alignment vertical="center"/>
    </xf>
    <xf numFmtId="0" fontId="40" fillId="0" borderId="25" xfId="0" applyFont="1" applyBorder="1" applyAlignment="1">
      <alignment horizontal="left" vertical="center"/>
    </xf>
    <xf numFmtId="167" fontId="43" fillId="0" borderId="0" xfId="0" applyNumberFormat="1" applyFont="1" applyAlignment="1">
      <alignment vertical="center"/>
    </xf>
    <xf numFmtId="0" fontId="40" fillId="0" borderId="25" xfId="0" applyFont="1" applyBorder="1" applyAlignment="1">
      <alignment vertical="center"/>
    </xf>
    <xf numFmtId="167" fontId="43" fillId="0" borderId="25" xfId="0" applyNumberFormat="1" applyFont="1" applyBorder="1" applyAlignment="1">
      <alignment vertical="center"/>
    </xf>
    <xf numFmtId="0" fontId="44" fillId="0" borderId="0" xfId="0" applyFont="1"/>
    <xf numFmtId="0" fontId="20" fillId="0" borderId="0" xfId="0" applyFont="1" applyAlignment="1">
      <alignment vertical="center"/>
    </xf>
    <xf numFmtId="0" fontId="46" fillId="0" borderId="25" xfId="0" applyFont="1" applyBorder="1" applyAlignment="1">
      <alignment vertical="center"/>
    </xf>
    <xf numFmtId="167" fontId="47" fillId="0" borderId="25" xfId="0" applyNumberFormat="1" applyFont="1" applyBorder="1" applyAlignment="1">
      <alignment vertical="center"/>
    </xf>
    <xf numFmtId="0" fontId="48" fillId="0" borderId="0" xfId="0" applyFont="1"/>
    <xf numFmtId="0" fontId="26" fillId="0" borderId="0" xfId="0" applyFont="1" applyAlignment="1">
      <alignment vertical="center"/>
    </xf>
    <xf numFmtId="0" fontId="47" fillId="0" borderId="25" xfId="0" applyFont="1" applyBorder="1" applyAlignment="1">
      <alignment horizontal="right" vertical="center"/>
    </xf>
    <xf numFmtId="168" fontId="32" fillId="0" borderId="0" xfId="0" applyNumberFormat="1" applyFont="1"/>
    <xf numFmtId="0" fontId="5" fillId="0" borderId="25" xfId="0" applyFont="1" applyBorder="1" applyAlignment="1">
      <alignment vertical="center"/>
    </xf>
    <xf numFmtId="0" fontId="28" fillId="0" borderId="26" xfId="0" applyFont="1" applyBorder="1"/>
    <xf numFmtId="166" fontId="49" fillId="0" borderId="26" xfId="0" applyNumberFormat="1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14" fillId="0" borderId="27" xfId="0" applyFont="1" applyBorder="1" applyAlignment="1">
      <alignment vertical="center" wrapText="1"/>
    </xf>
    <xf numFmtId="169" fontId="43" fillId="0" borderId="27" xfId="0" applyNumberFormat="1" applyFont="1" applyBorder="1" applyAlignment="1">
      <alignment vertical="center"/>
    </xf>
    <xf numFmtId="166" fontId="40" fillId="0" borderId="27" xfId="0" applyNumberFormat="1" applyFont="1" applyBorder="1" applyAlignment="1">
      <alignment vertical="center"/>
    </xf>
    <xf numFmtId="0" fontId="30" fillId="0" borderId="24" xfId="0" applyFont="1" applyBorder="1" applyAlignment="1">
      <alignment vertical="center"/>
    </xf>
    <xf numFmtId="0" fontId="28" fillId="0" borderId="24" xfId="0" applyFont="1" applyBorder="1" applyAlignment="1">
      <alignment vertical="center"/>
    </xf>
    <xf numFmtId="0" fontId="31" fillId="0" borderId="24" xfId="0" applyFont="1" applyBorder="1" applyAlignment="1">
      <alignment vertical="center"/>
    </xf>
    <xf numFmtId="166" fontId="31" fillId="0" borderId="24" xfId="0" applyNumberFormat="1" applyFont="1" applyBorder="1" applyAlignment="1">
      <alignment vertical="center"/>
    </xf>
    <xf numFmtId="0" fontId="20" fillId="0" borderId="0" xfId="0" applyFont="1" applyAlignment="1">
      <alignment vertical="center" wrapText="1"/>
    </xf>
    <xf numFmtId="0" fontId="5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0" fontId="32" fillId="0" borderId="0" xfId="0" applyFont="1" applyAlignment="1">
      <alignment wrapText="1"/>
    </xf>
    <xf numFmtId="0" fontId="51" fillId="0" borderId="0" xfId="0" applyFont="1"/>
    <xf numFmtId="172" fontId="52" fillId="14" borderId="28" xfId="0" applyNumberFormat="1" applyFont="1" applyFill="1" applyBorder="1" applyAlignment="1">
      <alignment horizontal="right"/>
    </xf>
    <xf numFmtId="172" fontId="52" fillId="6" borderId="28" xfId="0" applyNumberFormat="1" applyFont="1" applyFill="1" applyBorder="1" applyAlignment="1">
      <alignment horizontal="right"/>
    </xf>
    <xf numFmtId="172" fontId="53" fillId="6" borderId="28" xfId="0" applyNumberFormat="1" applyFont="1" applyFill="1" applyBorder="1" applyAlignment="1">
      <alignment horizontal="right"/>
    </xf>
    <xf numFmtId="0" fontId="54" fillId="5" borderId="28" xfId="0" applyFont="1" applyFill="1" applyBorder="1"/>
    <xf numFmtId="172" fontId="55" fillId="5" borderId="28" xfId="0" applyNumberFormat="1" applyFont="1" applyFill="1" applyBorder="1" applyAlignment="1">
      <alignment horizontal="right"/>
    </xf>
    <xf numFmtId="173" fontId="53" fillId="6" borderId="28" xfId="0" applyNumberFormat="1" applyFont="1" applyFill="1" applyBorder="1" applyAlignment="1">
      <alignment horizontal="right"/>
    </xf>
    <xf numFmtId="174" fontId="53" fillId="6" borderId="28" xfId="0" applyNumberFormat="1" applyFont="1" applyFill="1" applyBorder="1" applyAlignment="1">
      <alignment horizontal="right"/>
    </xf>
    <xf numFmtId="0" fontId="44" fillId="15" borderId="33" xfId="0" applyFont="1" applyFill="1" applyBorder="1" applyAlignment="1">
      <alignment horizontal="center"/>
    </xf>
    <xf numFmtId="0" fontId="34" fillId="15" borderId="36" xfId="0" applyFont="1" applyFill="1" applyBorder="1"/>
    <xf numFmtId="176" fontId="34" fillId="15" borderId="36" xfId="0" applyNumberFormat="1" applyFont="1" applyFill="1" applyBorder="1" applyAlignment="1">
      <alignment horizontal="right"/>
    </xf>
    <xf numFmtId="166" fontId="28" fillId="0" borderId="0" xfId="0" applyNumberFormat="1" applyFont="1" applyAlignment="1">
      <alignment vertical="center"/>
    </xf>
    <xf numFmtId="0" fontId="56" fillId="0" borderId="0" xfId="0" applyFont="1"/>
    <xf numFmtId="166" fontId="57" fillId="0" borderId="0" xfId="0" applyNumberFormat="1" applyFont="1" applyAlignment="1">
      <alignment horizontal="center" vertical="center"/>
    </xf>
    <xf numFmtId="0" fontId="58" fillId="0" borderId="40" xfId="0" applyFont="1" applyBorder="1"/>
    <xf numFmtId="166" fontId="31" fillId="0" borderId="40" xfId="0" applyNumberFormat="1" applyFont="1" applyBorder="1"/>
    <xf numFmtId="0" fontId="57" fillId="0" borderId="0" xfId="0" applyFont="1" applyAlignment="1">
      <alignment vertical="center"/>
    </xf>
    <xf numFmtId="0" fontId="11" fillId="0" borderId="25" xfId="0" applyFont="1" applyBorder="1" applyAlignment="1">
      <alignment vertical="center"/>
    </xf>
    <xf numFmtId="0" fontId="57" fillId="0" borderId="0" xfId="0" applyFont="1" applyAlignment="1">
      <alignment horizontal="left" vertical="center"/>
    </xf>
    <xf numFmtId="166" fontId="59" fillId="0" borderId="40" xfId="0" applyNumberFormat="1" applyFont="1" applyBorder="1" applyAlignment="1">
      <alignment vertical="center"/>
    </xf>
    <xf numFmtId="0" fontId="60" fillId="0" borderId="0" xfId="0" applyFont="1" applyAlignment="1">
      <alignment horizontal="center" vertical="center"/>
    </xf>
    <xf numFmtId="9" fontId="60" fillId="0" borderId="0" xfId="0" applyNumberFormat="1" applyFont="1" applyAlignment="1">
      <alignment horizontal="center" vertical="center"/>
    </xf>
    <xf numFmtId="166" fontId="61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0" fontId="63" fillId="0" borderId="0" xfId="0" applyFont="1"/>
    <xf numFmtId="0" fontId="32" fillId="0" borderId="0" xfId="0" applyFont="1" applyAlignment="1">
      <alignment vertical="center"/>
    </xf>
    <xf numFmtId="166" fontId="30" fillId="0" borderId="24" xfId="0" applyNumberFormat="1" applyFont="1" applyBorder="1" applyAlignment="1">
      <alignment vertical="center"/>
    </xf>
    <xf numFmtId="166" fontId="5" fillId="0" borderId="25" xfId="0" applyNumberFormat="1" applyFont="1" applyBorder="1" applyAlignment="1">
      <alignment vertical="center"/>
    </xf>
    <xf numFmtId="9" fontId="40" fillId="0" borderId="25" xfId="0" applyNumberFormat="1" applyFont="1" applyBorder="1" applyAlignment="1">
      <alignment vertical="center"/>
    </xf>
    <xf numFmtId="166" fontId="40" fillId="0" borderId="0" xfId="0" applyNumberFormat="1" applyFont="1" applyAlignment="1">
      <alignment vertical="center"/>
    </xf>
    <xf numFmtId="166" fontId="64" fillId="0" borderId="0" xfId="0" applyNumberFormat="1" applyFont="1"/>
    <xf numFmtId="166" fontId="20" fillId="0" borderId="0" xfId="0" applyNumberFormat="1" applyFont="1"/>
    <xf numFmtId="0" fontId="38" fillId="0" borderId="0" xfId="0" applyFont="1" applyAlignment="1">
      <alignment vertical="top"/>
    </xf>
    <xf numFmtId="0" fontId="22" fillId="0" borderId="0" xfId="0" applyFont="1" applyAlignment="1">
      <alignment horizontal="center" vertical="center"/>
    </xf>
    <xf numFmtId="166" fontId="20" fillId="0" borderId="0" xfId="0" applyNumberFormat="1" applyFont="1" applyAlignment="1">
      <alignment vertical="center"/>
    </xf>
    <xf numFmtId="166" fontId="20" fillId="0" borderId="0" xfId="0" applyNumberFormat="1" applyFont="1" applyAlignment="1">
      <alignment horizontal="right" vertical="center"/>
    </xf>
    <xf numFmtId="166" fontId="41" fillId="0" borderId="0" xfId="0" applyNumberFormat="1" applyFont="1" applyAlignment="1">
      <alignment horizontal="right"/>
    </xf>
    <xf numFmtId="0" fontId="3" fillId="0" borderId="25" xfId="0" applyFont="1" applyBorder="1"/>
    <xf numFmtId="169" fontId="42" fillId="0" borderId="25" xfId="0" applyNumberFormat="1" applyFont="1" applyBorder="1"/>
    <xf numFmtId="169" fontId="5" fillId="0" borderId="25" xfId="0" applyNumberFormat="1" applyFont="1" applyBorder="1"/>
    <xf numFmtId="0" fontId="14" fillId="0" borderId="25" xfId="0" applyFont="1" applyBorder="1"/>
    <xf numFmtId="169" fontId="14" fillId="0" borderId="25" xfId="0" applyNumberFormat="1" applyFont="1" applyBorder="1"/>
    <xf numFmtId="166" fontId="14" fillId="0" borderId="25" xfId="0" applyNumberFormat="1" applyFont="1" applyBorder="1"/>
    <xf numFmtId="0" fontId="14" fillId="0" borderId="27" xfId="0" applyFont="1" applyBorder="1"/>
    <xf numFmtId="169" fontId="43" fillId="0" borderId="27" xfId="0" applyNumberFormat="1" applyFont="1" applyBorder="1"/>
    <xf numFmtId="166" fontId="40" fillId="0" borderId="27" xfId="0" applyNumberFormat="1" applyFont="1" applyBorder="1"/>
    <xf numFmtId="169" fontId="42" fillId="0" borderId="0" xfId="0" applyNumberFormat="1" applyFont="1"/>
    <xf numFmtId="166" fontId="5" fillId="0" borderId="0" xfId="0" applyNumberFormat="1" applyFont="1"/>
    <xf numFmtId="166" fontId="5" fillId="6" borderId="41" xfId="0" applyNumberFormat="1" applyFont="1" applyFill="1" applyBorder="1"/>
    <xf numFmtId="0" fontId="65" fillId="0" borderId="42" xfId="0" applyFont="1" applyBorder="1"/>
    <xf numFmtId="169" fontId="66" fillId="0" borderId="42" xfId="0" applyNumberFormat="1" applyFont="1" applyBorder="1"/>
    <xf numFmtId="166" fontId="67" fillId="0" borderId="42" xfId="0" applyNumberFormat="1" applyFont="1" applyBorder="1"/>
    <xf numFmtId="0" fontId="70" fillId="0" borderId="0" xfId="0" applyFont="1"/>
    <xf numFmtId="168" fontId="10" fillId="0" borderId="0" xfId="0" applyNumberFormat="1" applyFont="1"/>
    <xf numFmtId="0" fontId="70" fillId="0" borderId="0" xfId="0" applyFont="1" applyAlignment="1">
      <alignment horizontal="center"/>
    </xf>
    <xf numFmtId="168" fontId="69" fillId="5" borderId="43" xfId="0" applyNumberFormat="1" applyFont="1" applyFill="1" applyBorder="1"/>
    <xf numFmtId="177" fontId="4" fillId="0" borderId="0" xfId="0" applyNumberFormat="1" applyFont="1"/>
    <xf numFmtId="0" fontId="32" fillId="0" borderId="0" xfId="0" applyFont="1" applyAlignment="1">
      <alignment horizontal="center"/>
    </xf>
    <xf numFmtId="0" fontId="32" fillId="0" borderId="28" xfId="0" applyFont="1" applyBorder="1" applyAlignment="1">
      <alignment horizontal="left"/>
    </xf>
    <xf numFmtId="0" fontId="32" fillId="0" borderId="28" xfId="0" applyFont="1" applyBorder="1" applyAlignment="1">
      <alignment horizontal="center"/>
    </xf>
    <xf numFmtId="49" fontId="32" fillId="0" borderId="28" xfId="0" applyNumberFormat="1" applyFont="1" applyBorder="1" applyAlignment="1">
      <alignment horizontal="center"/>
    </xf>
    <xf numFmtId="49" fontId="32" fillId="0" borderId="0" xfId="0" applyNumberFormat="1" applyFont="1"/>
    <xf numFmtId="166" fontId="32" fillId="0" borderId="28" xfId="0" applyNumberFormat="1" applyFont="1" applyBorder="1" applyAlignment="1">
      <alignment horizontal="center"/>
    </xf>
    <xf numFmtId="166" fontId="32" fillId="0" borderId="0" xfId="0" applyNumberFormat="1" applyFont="1"/>
    <xf numFmtId="9" fontId="32" fillId="0" borderId="28" xfId="0" applyNumberFormat="1" applyFont="1" applyBorder="1" applyAlignment="1">
      <alignment horizontal="center"/>
    </xf>
    <xf numFmtId="49" fontId="32" fillId="0" borderId="28" xfId="0" applyNumberFormat="1" applyFont="1" applyBorder="1" applyAlignment="1">
      <alignment horizontal="left"/>
    </xf>
    <xf numFmtId="0" fontId="73" fillId="0" borderId="0" xfId="0" applyFont="1" applyAlignment="1">
      <alignment vertical="center"/>
    </xf>
    <xf numFmtId="0" fontId="74" fillId="0" borderId="0" xfId="0" applyFont="1"/>
    <xf numFmtId="0" fontId="10" fillId="0" borderId="0" xfId="0" applyFont="1"/>
    <xf numFmtId="178" fontId="10" fillId="0" borderId="0" xfId="0" applyNumberFormat="1" applyFont="1" applyAlignment="1">
      <alignment horizontal="center" vertical="center"/>
    </xf>
    <xf numFmtId="0" fontId="75" fillId="0" borderId="0" xfId="0" applyFont="1"/>
    <xf numFmtId="0" fontId="28" fillId="0" borderId="0" xfId="0" applyFont="1"/>
    <xf numFmtId="168" fontId="28" fillId="0" borderId="0" xfId="0" applyNumberFormat="1" applyFont="1"/>
    <xf numFmtId="0" fontId="3" fillId="0" borderId="0" xfId="0" applyFont="1" applyAlignment="1">
      <alignment vertical="center"/>
    </xf>
    <xf numFmtId="179" fontId="14" fillId="0" borderId="0" xfId="0" applyNumberFormat="1" applyFont="1" applyAlignment="1">
      <alignment vertical="center"/>
    </xf>
    <xf numFmtId="168" fontId="28" fillId="0" borderId="27" xfId="0" applyNumberFormat="1" applyFont="1" applyBorder="1"/>
    <xf numFmtId="166" fontId="4" fillId="5" borderId="47" xfId="0" applyNumberFormat="1" applyFont="1" applyFill="1" applyBorder="1"/>
    <xf numFmtId="0" fontId="76" fillId="0" borderId="0" xfId="0" applyFont="1"/>
    <xf numFmtId="0" fontId="50" fillId="0" borderId="0" xfId="0" applyFont="1"/>
    <xf numFmtId="179" fontId="3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center" vertical="center"/>
    </xf>
    <xf numFmtId="168" fontId="14" fillId="0" borderId="0" xfId="0" applyNumberFormat="1" applyFont="1" applyAlignment="1">
      <alignment vertical="center"/>
    </xf>
    <xf numFmtId="171" fontId="14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68" fontId="3" fillId="0" borderId="0" xfId="0" applyNumberFormat="1" applyFont="1"/>
    <xf numFmtId="0" fontId="30" fillId="0" borderId="0" xfId="0" applyFont="1"/>
    <xf numFmtId="0" fontId="31" fillId="0" borderId="0" xfId="0" applyFont="1"/>
    <xf numFmtId="168" fontId="31" fillId="0" borderId="0" xfId="0" applyNumberFormat="1" applyFont="1"/>
    <xf numFmtId="166" fontId="4" fillId="5" borderId="49" xfId="0" applyNumberFormat="1" applyFont="1" applyFill="1" applyBorder="1"/>
    <xf numFmtId="0" fontId="14" fillId="0" borderId="0" xfId="0" quotePrefix="1" applyFont="1"/>
    <xf numFmtId="0" fontId="78" fillId="0" borderId="0" xfId="0" applyFont="1"/>
    <xf numFmtId="0" fontId="79" fillId="0" borderId="0" xfId="0" applyFont="1"/>
    <xf numFmtId="180" fontId="79" fillId="0" borderId="0" xfId="0" applyNumberFormat="1" applyFont="1"/>
    <xf numFmtId="166" fontId="4" fillId="5" borderId="50" xfId="0" applyNumberFormat="1" applyFont="1" applyFill="1" applyBorder="1"/>
    <xf numFmtId="0" fontId="59" fillId="0" borderId="0" xfId="0" quotePrefix="1" applyFont="1"/>
    <xf numFmtId="0" fontId="2" fillId="2" borderId="48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vertical="center"/>
    </xf>
    <xf numFmtId="49" fontId="2" fillId="6" borderId="48" xfId="0" applyNumberFormat="1" applyFont="1" applyFill="1" applyBorder="1" applyAlignment="1">
      <alignment horizontal="left" vertical="center"/>
    </xf>
    <xf numFmtId="49" fontId="13" fillId="6" borderId="48" xfId="0" applyNumberFormat="1" applyFont="1" applyFill="1" applyBorder="1" applyAlignment="1">
      <alignment horizontal="left" vertical="center"/>
    </xf>
    <xf numFmtId="0" fontId="10" fillId="8" borderId="48" xfId="0" applyFont="1" applyFill="1" applyBorder="1" applyAlignment="1">
      <alignment horizontal="center" vertical="center"/>
    </xf>
    <xf numFmtId="49" fontId="10" fillId="8" borderId="48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top" wrapText="1"/>
    </xf>
    <xf numFmtId="0" fontId="3" fillId="3" borderId="48" xfId="0" applyFont="1" applyFill="1" applyBorder="1" applyAlignment="1">
      <alignment vertical="top"/>
    </xf>
    <xf numFmtId="0" fontId="2" fillId="2" borderId="48" xfId="0" applyFont="1" applyFill="1" applyBorder="1" applyAlignment="1">
      <alignment vertical="center"/>
    </xf>
    <xf numFmtId="0" fontId="17" fillId="3" borderId="48" xfId="0" applyFont="1" applyFill="1" applyBorder="1" applyAlignment="1">
      <alignment vertical="center"/>
    </xf>
    <xf numFmtId="166" fontId="10" fillId="8" borderId="48" xfId="0" applyNumberFormat="1" applyFont="1" applyFill="1" applyBorder="1" applyAlignment="1">
      <alignment horizontal="center" vertical="center"/>
    </xf>
    <xf numFmtId="0" fontId="21" fillId="10" borderId="48" xfId="0" applyFont="1" applyFill="1" applyBorder="1" applyAlignment="1">
      <alignment horizontal="left"/>
    </xf>
    <xf numFmtId="0" fontId="24" fillId="11" borderId="48" xfId="0" applyFont="1" applyFill="1" applyBorder="1"/>
    <xf numFmtId="0" fontId="19" fillId="11" borderId="48" xfId="0" applyFont="1" applyFill="1" applyBorder="1"/>
    <xf numFmtId="0" fontId="25" fillId="11" borderId="48" xfId="0" applyFont="1" applyFill="1" applyBorder="1"/>
    <xf numFmtId="0" fontId="20" fillId="5" borderId="48" xfId="0" applyFont="1" applyFill="1" applyBorder="1"/>
    <xf numFmtId="0" fontId="3" fillId="6" borderId="48" xfId="0" applyFont="1" applyFill="1" applyBorder="1" applyAlignment="1">
      <alignment horizontal="right" vertical="center"/>
    </xf>
    <xf numFmtId="9" fontId="26" fillId="3" borderId="48" xfId="0" applyNumberFormat="1" applyFont="1" applyFill="1" applyBorder="1" applyAlignment="1">
      <alignment horizontal="left"/>
    </xf>
    <xf numFmtId="166" fontId="4" fillId="6" borderId="48" xfId="0" applyNumberFormat="1" applyFont="1" applyFill="1" applyBorder="1"/>
    <xf numFmtId="166" fontId="41" fillId="6" borderId="48" xfId="0" applyNumberFormat="1" applyFont="1" applyFill="1" applyBorder="1" applyAlignment="1">
      <alignment horizontal="right" vertical="center"/>
    </xf>
    <xf numFmtId="9" fontId="5" fillId="3" borderId="25" xfId="0" applyNumberFormat="1" applyFont="1" applyFill="1" applyBorder="1" applyAlignment="1">
      <alignment vertical="center"/>
    </xf>
    <xf numFmtId="166" fontId="40" fillId="5" borderId="25" xfId="0" applyNumberFormat="1" applyFont="1" applyFill="1" applyBorder="1" applyAlignment="1">
      <alignment vertical="center"/>
    </xf>
    <xf numFmtId="166" fontId="5" fillId="5" borderId="25" xfId="0" applyNumberFormat="1" applyFont="1" applyFill="1" applyBorder="1" applyAlignment="1">
      <alignment vertical="center"/>
    </xf>
    <xf numFmtId="166" fontId="40" fillId="5" borderId="48" xfId="0" applyNumberFormat="1" applyFont="1" applyFill="1" applyBorder="1" applyAlignment="1">
      <alignment vertical="center"/>
    </xf>
    <xf numFmtId="166" fontId="40" fillId="13" borderId="48" xfId="0" applyNumberFormat="1" applyFont="1" applyFill="1" applyBorder="1" applyAlignment="1">
      <alignment vertical="center"/>
    </xf>
    <xf numFmtId="0" fontId="14" fillId="3" borderId="48" xfId="0" applyFont="1" applyFill="1" applyBorder="1" applyAlignment="1">
      <alignment vertical="center"/>
    </xf>
    <xf numFmtId="166" fontId="40" fillId="6" borderId="25" xfId="0" applyNumberFormat="1" applyFont="1" applyFill="1" applyBorder="1" applyAlignment="1">
      <alignment vertical="center"/>
    </xf>
    <xf numFmtId="166" fontId="40" fillId="13" borderId="25" xfId="0" applyNumberFormat="1" applyFont="1" applyFill="1" applyBorder="1" applyAlignment="1">
      <alignment vertical="center"/>
    </xf>
    <xf numFmtId="0" fontId="45" fillId="2" borderId="48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>
      <alignment vertical="center"/>
    </xf>
    <xf numFmtId="166" fontId="46" fillId="13" borderId="25" xfId="0" applyNumberFormat="1" applyFont="1" applyFill="1" applyBorder="1" applyAlignment="1">
      <alignment vertical="center"/>
    </xf>
    <xf numFmtId="166" fontId="29" fillId="13" borderId="25" xfId="0" applyNumberFormat="1" applyFont="1" applyFill="1" applyBorder="1" applyAlignment="1">
      <alignment vertical="center"/>
    </xf>
    <xf numFmtId="166" fontId="46" fillId="5" borderId="25" xfId="0" applyNumberFormat="1" applyFont="1" applyFill="1" applyBorder="1" applyAlignment="1">
      <alignment vertical="center"/>
    </xf>
    <xf numFmtId="166" fontId="29" fillId="6" borderId="25" xfId="0" applyNumberFormat="1" applyFont="1" applyFill="1" applyBorder="1" applyAlignment="1">
      <alignment vertical="center"/>
    </xf>
    <xf numFmtId="166" fontId="5" fillId="13" borderId="25" xfId="0" applyNumberFormat="1" applyFont="1" applyFill="1" applyBorder="1" applyAlignment="1">
      <alignment vertical="center"/>
    </xf>
    <xf numFmtId="166" fontId="5" fillId="6" borderId="25" xfId="0" applyNumberFormat="1" applyFont="1" applyFill="1" applyBorder="1" applyAlignment="1">
      <alignment vertical="center"/>
    </xf>
    <xf numFmtId="0" fontId="5" fillId="8" borderId="48" xfId="0" applyFont="1" applyFill="1" applyBorder="1" applyAlignment="1">
      <alignment vertical="center"/>
    </xf>
    <xf numFmtId="0" fontId="5" fillId="6" borderId="48" xfId="0" applyFont="1" applyFill="1" applyBorder="1" applyAlignment="1">
      <alignment vertical="center" wrapText="1"/>
    </xf>
    <xf numFmtId="166" fontId="5" fillId="6" borderId="48" xfId="0" applyNumberFormat="1" applyFont="1" applyFill="1" applyBorder="1" applyAlignment="1">
      <alignment vertical="center"/>
    </xf>
    <xf numFmtId="0" fontId="4" fillId="8" borderId="48" xfId="0" applyFont="1" applyFill="1" applyBorder="1" applyAlignment="1">
      <alignment vertical="center"/>
    </xf>
    <xf numFmtId="166" fontId="5" fillId="5" borderId="48" xfId="0" applyNumberFormat="1" applyFont="1" applyFill="1" applyBorder="1" applyAlignment="1">
      <alignment vertical="center"/>
    </xf>
    <xf numFmtId="1" fontId="5" fillId="5" borderId="48" xfId="0" applyNumberFormat="1" applyFont="1" applyFill="1" applyBorder="1" applyAlignment="1">
      <alignment horizontal="center" vertical="center"/>
    </xf>
    <xf numFmtId="9" fontId="5" fillId="5" borderId="48" xfId="0" applyNumberFormat="1" applyFont="1" applyFill="1" applyBorder="1" applyAlignment="1">
      <alignment horizontal="center" vertical="center"/>
    </xf>
    <xf numFmtId="166" fontId="5" fillId="8" borderId="48" xfId="0" applyNumberFormat="1" applyFont="1" applyFill="1" applyBorder="1" applyAlignment="1">
      <alignment vertical="center"/>
    </xf>
    <xf numFmtId="0" fontId="34" fillId="0" borderId="28" xfId="0" applyFont="1" applyBorder="1"/>
    <xf numFmtId="4" fontId="34" fillId="5" borderId="28" xfId="0" applyNumberFormat="1" applyFont="1" applyFill="1" applyBorder="1" applyAlignment="1">
      <alignment horizontal="right"/>
    </xf>
    <xf numFmtId="175" fontId="34" fillId="6" borderId="0" xfId="0" applyNumberFormat="1" applyFont="1" applyFill="1" applyAlignment="1">
      <alignment horizontal="right"/>
    </xf>
    <xf numFmtId="0" fontId="34" fillId="5" borderId="28" xfId="0" applyFont="1" applyFill="1" applyBorder="1"/>
    <xf numFmtId="0" fontId="34" fillId="5" borderId="28" xfId="0" applyFont="1" applyFill="1" applyBorder="1" applyAlignment="1">
      <alignment horizontal="right"/>
    </xf>
    <xf numFmtId="172" fontId="34" fillId="0" borderId="0" xfId="0" applyNumberFormat="1" applyFont="1" applyAlignment="1">
      <alignment horizontal="right"/>
    </xf>
    <xf numFmtId="0" fontId="34" fillId="0" borderId="29" xfId="0" applyFont="1" applyBorder="1"/>
    <xf numFmtId="172" fontId="34" fillId="0" borderId="29" xfId="0" applyNumberFormat="1" applyFont="1" applyBorder="1" applyAlignment="1">
      <alignment horizontal="right"/>
    </xf>
    <xf numFmtId="0" fontId="34" fillId="5" borderId="30" xfId="0" applyFont="1" applyFill="1" applyBorder="1" applyAlignment="1">
      <alignment horizontal="right"/>
    </xf>
    <xf numFmtId="0" fontId="34" fillId="5" borderId="31" xfId="0" applyFont="1" applyFill="1" applyBorder="1"/>
    <xf numFmtId="172" fontId="34" fillId="5" borderId="31" xfId="0" applyNumberFormat="1" applyFont="1" applyFill="1" applyBorder="1" applyAlignment="1">
      <alignment horizontal="right"/>
    </xf>
    <xf numFmtId="172" fontId="34" fillId="5" borderId="32" xfId="0" applyNumberFormat="1" applyFont="1" applyFill="1" applyBorder="1" applyAlignment="1">
      <alignment horizontal="right"/>
    </xf>
    <xf numFmtId="0" fontId="34" fillId="5" borderId="34" xfId="0" applyFont="1" applyFill="1" applyBorder="1" applyAlignment="1">
      <alignment horizontal="right"/>
    </xf>
    <xf numFmtId="172" fontId="34" fillId="5" borderId="28" xfId="0" applyNumberFormat="1" applyFont="1" applyFill="1" applyBorder="1" applyAlignment="1">
      <alignment horizontal="right"/>
    </xf>
    <xf numFmtId="172" fontId="34" fillId="5" borderId="35" xfId="0" applyNumberFormat="1" applyFont="1" applyFill="1" applyBorder="1" applyAlignment="1">
      <alignment horizontal="right"/>
    </xf>
    <xf numFmtId="172" fontId="34" fillId="5" borderId="28" xfId="0" applyNumberFormat="1" applyFont="1" applyFill="1" applyBorder="1"/>
    <xf numFmtId="0" fontId="34" fillId="5" borderId="37" xfId="0" applyFont="1" applyFill="1" applyBorder="1" applyAlignment="1">
      <alignment horizontal="right"/>
    </xf>
    <xf numFmtId="0" fontId="34" fillId="5" borderId="38" xfId="0" applyFont="1" applyFill="1" applyBorder="1"/>
    <xf numFmtId="172" fontId="34" fillId="5" borderId="38" xfId="0" applyNumberFormat="1" applyFont="1" applyFill="1" applyBorder="1" applyAlignment="1">
      <alignment horizontal="right"/>
    </xf>
    <xf numFmtId="172" fontId="34" fillId="5" borderId="39" xfId="0" applyNumberFormat="1" applyFont="1" applyFill="1" applyBorder="1" applyAlignment="1">
      <alignment horizontal="right"/>
    </xf>
    <xf numFmtId="172" fontId="34" fillId="5" borderId="31" xfId="0" applyNumberFormat="1" applyFont="1" applyFill="1" applyBorder="1"/>
    <xf numFmtId="172" fontId="34" fillId="0" borderId="0" xfId="0" applyNumberFormat="1" applyFont="1"/>
    <xf numFmtId="166" fontId="57" fillId="14" borderId="48" xfId="0" applyNumberFormat="1" applyFont="1" applyFill="1" applyBorder="1" applyAlignment="1">
      <alignment vertical="center"/>
    </xf>
    <xf numFmtId="166" fontId="11" fillId="16" borderId="25" xfId="0" applyNumberFormat="1" applyFont="1" applyFill="1" applyBorder="1" applyAlignment="1">
      <alignment vertical="center"/>
    </xf>
    <xf numFmtId="166" fontId="57" fillId="14" borderId="48" xfId="0" applyNumberFormat="1" applyFont="1" applyFill="1" applyBorder="1" applyAlignment="1">
      <alignment horizontal="left" vertical="center"/>
    </xf>
    <xf numFmtId="0" fontId="11" fillId="0" borderId="47" xfId="0" applyFont="1" applyBorder="1" applyAlignment="1">
      <alignment vertical="center"/>
    </xf>
    <xf numFmtId="0" fontId="28" fillId="17" borderId="48" xfId="0" applyFont="1" applyFill="1" applyBorder="1" applyAlignment="1">
      <alignment vertical="center"/>
    </xf>
    <xf numFmtId="166" fontId="28" fillId="17" borderId="48" xfId="0" applyNumberFormat="1" applyFont="1" applyFill="1" applyBorder="1" applyAlignment="1">
      <alignment vertical="center"/>
    </xf>
    <xf numFmtId="9" fontId="14" fillId="3" borderId="25" xfId="0" applyNumberFormat="1" applyFont="1" applyFill="1" applyBorder="1" applyAlignment="1">
      <alignment vertical="center"/>
    </xf>
    <xf numFmtId="166" fontId="5" fillId="5" borderId="25" xfId="0" applyNumberFormat="1" applyFont="1" applyFill="1" applyBorder="1"/>
    <xf numFmtId="166" fontId="5" fillId="6" borderId="25" xfId="0" applyNumberFormat="1" applyFont="1" applyFill="1" applyBorder="1"/>
    <xf numFmtId="166" fontId="3" fillId="6" borderId="25" xfId="0" applyNumberFormat="1" applyFont="1" applyFill="1" applyBorder="1"/>
    <xf numFmtId="0" fontId="3" fillId="0" borderId="41" xfId="0" applyFont="1" applyBorder="1"/>
    <xf numFmtId="169" fontId="42" fillId="0" borderId="41" xfId="0" applyNumberFormat="1" applyFont="1" applyBorder="1"/>
    <xf numFmtId="166" fontId="5" fillId="0" borderId="41" xfId="0" applyNumberFormat="1" applyFont="1" applyBorder="1"/>
    <xf numFmtId="0" fontId="68" fillId="3" borderId="48" xfId="0" applyFont="1" applyFill="1" applyBorder="1" applyAlignment="1">
      <alignment vertical="center"/>
    </xf>
    <xf numFmtId="0" fontId="69" fillId="3" borderId="48" xfId="0" applyFont="1" applyFill="1" applyBorder="1"/>
    <xf numFmtId="168" fontId="69" fillId="3" borderId="48" xfId="0" applyNumberFormat="1" applyFont="1" applyFill="1" applyBorder="1"/>
    <xf numFmtId="168" fontId="10" fillId="5" borderId="48" xfId="0" applyNumberFormat="1" applyFont="1" applyFill="1" applyBorder="1"/>
    <xf numFmtId="0" fontId="71" fillId="0" borderId="43" xfId="0" applyFont="1" applyBorder="1" applyAlignment="1">
      <alignment horizontal="left" vertical="center"/>
    </xf>
    <xf numFmtId="0" fontId="72" fillId="0" borderId="43" xfId="0" applyFont="1" applyBorder="1" applyAlignment="1">
      <alignment horizontal="center"/>
    </xf>
    <xf numFmtId="0" fontId="32" fillId="18" borderId="48" xfId="0" applyFont="1" applyFill="1" applyBorder="1"/>
    <xf numFmtId="0" fontId="32" fillId="18" borderId="48" xfId="0" applyFont="1" applyFill="1" applyBorder="1" applyAlignment="1">
      <alignment horizontal="center"/>
    </xf>
    <xf numFmtId="0" fontId="32" fillId="19" borderId="48" xfId="0" applyFont="1" applyFill="1" applyBorder="1" applyAlignment="1">
      <alignment horizontal="center"/>
    </xf>
    <xf numFmtId="0" fontId="32" fillId="19" borderId="48" xfId="0" applyFont="1" applyFill="1" applyBorder="1"/>
    <xf numFmtId="0" fontId="73" fillId="2" borderId="48" xfId="0" applyFont="1" applyFill="1" applyBorder="1" applyAlignment="1">
      <alignment vertical="center"/>
    </xf>
    <xf numFmtId="0" fontId="28" fillId="19" borderId="48" xfId="0" applyFont="1" applyFill="1" applyBorder="1"/>
    <xf numFmtId="166" fontId="4" fillId="5" borderId="25" xfId="0" applyNumberFormat="1" applyFont="1" applyFill="1" applyBorder="1"/>
    <xf numFmtId="0" fontId="76" fillId="2" borderId="48" xfId="0" applyFont="1" applyFill="1" applyBorder="1" applyAlignment="1">
      <alignment horizontal="center" vertical="center"/>
    </xf>
    <xf numFmtId="0" fontId="76" fillId="19" borderId="48" xfId="0" applyFont="1" applyFill="1" applyBorder="1"/>
    <xf numFmtId="166" fontId="20" fillId="5" borderId="25" xfId="0" applyNumberFormat="1" applyFont="1" applyFill="1" applyBorder="1"/>
    <xf numFmtId="0" fontId="77" fillId="2" borderId="48" xfId="0" applyFont="1" applyFill="1" applyBorder="1" applyAlignment="1">
      <alignment horizontal="center" vertical="center"/>
    </xf>
    <xf numFmtId="0" fontId="3" fillId="19" borderId="48" xfId="0" applyFont="1" applyFill="1" applyBorder="1" applyAlignment="1">
      <alignment vertical="center"/>
    </xf>
    <xf numFmtId="0" fontId="14" fillId="20" borderId="48" xfId="0" applyFont="1" applyFill="1" applyBorder="1" applyAlignment="1">
      <alignment vertical="center"/>
    </xf>
    <xf numFmtId="9" fontId="14" fillId="20" borderId="48" xfId="0" applyNumberFormat="1" applyFont="1" applyFill="1" applyBorder="1" applyAlignment="1">
      <alignment vertical="center"/>
    </xf>
    <xf numFmtId="168" fontId="20" fillId="20" borderId="48" xfId="0" applyNumberFormat="1" applyFont="1" applyFill="1" applyBorder="1"/>
    <xf numFmtId="0" fontId="20" fillId="20" borderId="48" xfId="0" applyFont="1" applyFill="1" applyBorder="1" applyAlignment="1">
      <alignment vertical="center"/>
    </xf>
    <xf numFmtId="0" fontId="47" fillId="20" borderId="48" xfId="0" applyFont="1" applyFill="1" applyBorder="1" applyAlignment="1">
      <alignment horizontal="right" vertical="center"/>
    </xf>
    <xf numFmtId="1" fontId="9" fillId="20" borderId="48" xfId="0" applyNumberFormat="1" applyFont="1" applyFill="1" applyBorder="1"/>
    <xf numFmtId="2" fontId="9" fillId="20" borderId="48" xfId="0" applyNumberFormat="1" applyFont="1" applyFill="1" applyBorder="1"/>
    <xf numFmtId="0" fontId="3" fillId="0" borderId="50" xfId="0" applyFont="1" applyBorder="1" applyAlignment="1">
      <alignment vertical="center"/>
    </xf>
    <xf numFmtId="0" fontId="3" fillId="0" borderId="50" xfId="0" applyFont="1" applyBorder="1"/>
    <xf numFmtId="0" fontId="79" fillId="19" borderId="48" xfId="0" applyFont="1" applyFill="1" applyBorder="1" applyAlignment="1">
      <alignment vertical="center"/>
    </xf>
    <xf numFmtId="181" fontId="14" fillId="20" borderId="48" xfId="0" applyNumberFormat="1" applyFont="1" applyFill="1" applyBorder="1" applyAlignment="1">
      <alignment vertical="center"/>
    </xf>
    <xf numFmtId="0" fontId="14" fillId="0" borderId="50" xfId="0" applyFont="1" applyBorder="1" applyAlignment="1">
      <alignment vertical="center"/>
    </xf>
    <xf numFmtId="166" fontId="4" fillId="5" borderId="48" xfId="0" applyNumberFormat="1" applyFont="1" applyFill="1" applyBorder="1"/>
    <xf numFmtId="0" fontId="28" fillId="2" borderId="48" xfId="0" applyFont="1" applyFill="1" applyBorder="1"/>
    <xf numFmtId="0" fontId="3" fillId="19" borderId="48" xfId="0" applyFont="1" applyFill="1" applyBorder="1"/>
    <xf numFmtId="0" fontId="3" fillId="3" borderId="48" xfId="0" applyFont="1" applyFill="1" applyBorder="1"/>
    <xf numFmtId="49" fontId="2" fillId="6" borderId="48" xfId="0" applyNumberFormat="1" applyFont="1" applyFill="1" applyBorder="1" applyAlignment="1">
      <alignment vertical="center"/>
    </xf>
    <xf numFmtId="49" fontId="80" fillId="6" borderId="48" xfId="1" applyNumberFormat="1" applyFill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" fillId="0" borderId="0" xfId="0" applyFont="1"/>
    <xf numFmtId="49" fontId="10" fillId="7" borderId="48" xfId="0" applyNumberFormat="1" applyFont="1" applyFill="1" applyBorder="1" applyAlignment="1">
      <alignment horizontal="center" vertical="center"/>
    </xf>
    <xf numFmtId="49" fontId="10" fillId="6" borderId="48" xfId="0" applyNumberFormat="1" applyFont="1" applyFill="1" applyBorder="1" applyAlignment="1">
      <alignment horizontal="center" vertical="center"/>
    </xf>
    <xf numFmtId="0" fontId="0" fillId="0" borderId="0" xfId="0"/>
    <xf numFmtId="0" fontId="11" fillId="0" borderId="0" xfId="0" applyFont="1" applyAlignment="1">
      <alignment vertical="center"/>
    </xf>
    <xf numFmtId="49" fontId="10" fillId="6" borderId="48" xfId="0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0" fillId="0" borderId="0" xfId="0" applyAlignment="1"/>
    <xf numFmtId="49" fontId="10" fillId="6" borderId="48" xfId="0" applyNumberFormat="1" applyFont="1" applyFill="1" applyBorder="1" applyAlignment="1">
      <alignment horizontal="left" vertical="center"/>
    </xf>
    <xf numFmtId="0" fontId="7" fillId="4" borderId="51" xfId="0" applyFont="1" applyFill="1" applyBorder="1" applyAlignment="1">
      <alignment horizontal="center" vertical="center"/>
    </xf>
    <xf numFmtId="0" fontId="7" fillId="4" borderId="48" xfId="0" applyFont="1" applyFill="1" applyBorder="1" applyAlignment="1">
      <alignment horizontal="center" vertical="center"/>
    </xf>
    <xf numFmtId="0" fontId="8" fillId="0" borderId="2" xfId="0" applyFont="1" applyBorder="1" applyAlignment="1"/>
    <xf numFmtId="0" fontId="8" fillId="0" borderId="3" xfId="0" applyFont="1" applyBorder="1" applyAlignment="1"/>
    <xf numFmtId="0" fontId="8" fillId="0" borderId="48" xfId="0" applyFont="1" applyBorder="1" applyAlignment="1"/>
    <xf numFmtId="0" fontId="6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6" borderId="48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49" fontId="10" fillId="6" borderId="5" xfId="0" applyNumberFormat="1" applyFont="1" applyFill="1" applyBorder="1" applyAlignment="1">
      <alignment horizontal="left" vertical="top" wrapText="1"/>
    </xf>
    <xf numFmtId="0" fontId="8" fillId="0" borderId="5" xfId="0" applyFont="1" applyBorder="1" applyAlignment="1"/>
    <xf numFmtId="49" fontId="10" fillId="6" borderId="7" xfId="0" applyNumberFormat="1" applyFont="1" applyFill="1" applyBorder="1" applyAlignment="1">
      <alignment horizontal="left" vertical="center"/>
    </xf>
    <xf numFmtId="0" fontId="8" fillId="0" borderId="15" xfId="0" applyFont="1" applyBorder="1" applyAlignment="1"/>
    <xf numFmtId="49" fontId="10" fillId="6" borderId="8" xfId="0" applyNumberFormat="1" applyFont="1" applyFill="1" applyBorder="1" applyAlignment="1">
      <alignment horizontal="left" vertical="top" wrapText="1"/>
    </xf>
    <xf numFmtId="0" fontId="8" fillId="0" borderId="9" xfId="0" applyFont="1" applyBorder="1" applyAlignment="1"/>
    <xf numFmtId="0" fontId="8" fillId="0" borderId="10" xfId="0" applyFont="1" applyBorder="1" applyAlignment="1"/>
    <xf numFmtId="0" fontId="8" fillId="0" borderId="11" xfId="0" applyFont="1" applyBorder="1" applyAlignment="1"/>
    <xf numFmtId="0" fontId="8" fillId="0" borderId="12" xfId="0" applyFont="1" applyBorder="1" applyAlignment="1"/>
    <xf numFmtId="0" fontId="8" fillId="0" borderId="13" xfId="0" applyFont="1" applyBorder="1" applyAlignment="1"/>
    <xf numFmtId="0" fontId="8" fillId="0" borderId="14" xfId="0" applyFont="1" applyBorder="1" applyAlignment="1"/>
    <xf numFmtId="49" fontId="10" fillId="6" borderId="8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4" fillId="6" borderId="20" xfId="0" applyFont="1" applyFill="1" applyBorder="1" applyAlignment="1">
      <alignment horizontal="center"/>
    </xf>
    <xf numFmtId="0" fontId="8" fillId="0" borderId="21" xfId="0" applyFont="1" applyBorder="1" applyAlignment="1"/>
    <xf numFmtId="0" fontId="8" fillId="0" borderId="22" xfId="0" applyFont="1" applyBorder="1" applyAlignment="1"/>
    <xf numFmtId="9" fontId="4" fillId="6" borderId="20" xfId="0" applyNumberFormat="1" applyFont="1" applyFill="1" applyBorder="1" applyAlignment="1">
      <alignment horizontal="center"/>
    </xf>
    <xf numFmtId="2" fontId="3" fillId="6" borderId="19" xfId="0" applyNumberFormat="1" applyFont="1" applyFill="1" applyBorder="1" applyAlignment="1">
      <alignment horizontal="center"/>
    </xf>
    <xf numFmtId="2" fontId="19" fillId="9" borderId="19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8" fillId="0" borderId="41" xfId="0" applyFont="1" applyBorder="1" applyAlignment="1"/>
    <xf numFmtId="0" fontId="8" fillId="0" borderId="45" xfId="0" applyFont="1" applyBorder="1" applyAlignment="1"/>
    <xf numFmtId="0" fontId="32" fillId="0" borderId="29" xfId="0" applyFont="1" applyBorder="1" applyAlignment="1">
      <alignment horizontal="center"/>
    </xf>
    <xf numFmtId="0" fontId="8" fillId="0" borderId="46" xfId="0" applyFont="1" applyBorder="1" applyAlignment="1"/>
    <xf numFmtId="49" fontId="32" fillId="0" borderId="29" xfId="0" applyNumberFormat="1" applyFont="1" applyBorder="1" applyAlignment="1">
      <alignment horizontal="center"/>
    </xf>
    <xf numFmtId="0" fontId="2" fillId="2" borderId="48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Volume CA, EBE et 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Chiffre d'affaire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Données_Graph!$B$6:$F$6</c:f>
              <c:numCache>
                <c:formatCode>_ * #,##0_)\ _C_F_A_ ;_ * \(#,##0\)\ _C_F_A_ ;_ * "-"_)\ _C_F_A_ ;_ @_ </c:formatCode>
                <c:ptCount val="5"/>
                <c:pt idx="0">
                  <c:v>78475000</c:v>
                </c:pt>
                <c:pt idx="1">
                  <c:v>523501250</c:v>
                </c:pt>
                <c:pt idx="2">
                  <c:v>545232437.5</c:v>
                </c:pt>
                <c:pt idx="3">
                  <c:v>568407063.12500012</c:v>
                </c:pt>
                <c:pt idx="4">
                  <c:v>593175913.39374995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7F-40F5-A23A-FAAC62BDC3E6}"/>
            </c:ext>
          </c:extLst>
        </c:ser>
        <c:ser>
          <c:idx val="1"/>
          <c:order val="1"/>
          <c:tx>
            <c:v>Exédent Brut d'exploitation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Données_Graph!$B$7:$F$7</c:f>
              <c:numCache>
                <c:formatCode>_ * #,##0_)\ _C_F_A_ ;_ * \(#,##0\)\ _C_F_A_ ;_ * "-"_)\ _C_F_A_ ;_ @_ </c:formatCode>
                <c:ptCount val="5"/>
                <c:pt idx="0">
                  <c:v>20005400</c:v>
                </c:pt>
                <c:pt idx="1">
                  <c:v>464524650</c:v>
                </c:pt>
                <c:pt idx="2">
                  <c:v>485739027.5</c:v>
                </c:pt>
                <c:pt idx="3">
                  <c:v>508386822.82500011</c:v>
                </c:pt>
                <c:pt idx="4">
                  <c:v>532618607.32474995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87F-40F5-A23A-FAAC62BDC3E6}"/>
            </c:ext>
          </c:extLst>
        </c:ser>
        <c:ser>
          <c:idx val="2"/>
          <c:order val="2"/>
          <c:tx>
            <c:v>Résultat d'exploitation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Données_Graph!$B$8:$F$8</c:f>
              <c:numCache>
                <c:formatCode>_ * #,##0_)\ _C_F_A_ ;_ * \(#,##0\)\ _C_F_A_ ;_ * "-"_)\ _C_F_A_ ;_ @_ </c:formatCode>
                <c:ptCount val="5"/>
                <c:pt idx="0">
                  <c:v>13856750.476314455</c:v>
                </c:pt>
                <c:pt idx="1">
                  <c:v>457819431.27329552</c:v>
                </c:pt>
                <c:pt idx="2">
                  <c:v>478360383.30378121</c:v>
                </c:pt>
                <c:pt idx="3">
                  <c:v>500192590.02466738</c:v>
                </c:pt>
                <c:pt idx="4">
                  <c:v>523518635.92072737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87F-40F5-A23A-FAAC62BDC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816954"/>
        <c:axId val="1664220034"/>
      </c:barChart>
      <c:catAx>
        <c:axId val="191816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64220034"/>
        <c:crosses val="autoZero"/>
        <c:auto val="1"/>
        <c:lblAlgn val="ctr"/>
        <c:lblOffset val="100"/>
        <c:noMultiLvlLbl val="1"/>
      </c:catAx>
      <c:valAx>
        <c:axId val="16642200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18169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Evolution CA et RN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Chiffre d'affaire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Données_Graph!$B$6:$F$6</c:f>
              <c:numCache>
                <c:formatCode>_ * #,##0_)\ _C_F_A_ ;_ * \(#,##0\)\ _C_F_A_ ;_ * "-"_)\ _C_F_A_ ;_ @_ </c:formatCode>
                <c:ptCount val="5"/>
                <c:pt idx="0">
                  <c:v>78475000</c:v>
                </c:pt>
                <c:pt idx="1">
                  <c:v>523501250</c:v>
                </c:pt>
                <c:pt idx="2">
                  <c:v>545232437.5</c:v>
                </c:pt>
                <c:pt idx="3">
                  <c:v>568407063.12500012</c:v>
                </c:pt>
                <c:pt idx="4">
                  <c:v>593175913.39374995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5-423D-B4F4-6E73BE810169}"/>
            </c:ext>
          </c:extLst>
        </c:ser>
        <c:ser>
          <c:idx val="1"/>
          <c:order val="1"/>
          <c:tx>
            <c:v>Résultat net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Données_Graph!$B$9:$F$9</c:f>
              <c:numCache>
                <c:formatCode>_ * #,##0_)\ _C_F_A_ ;_ * \(#,##0\)\ _C_F_A_ ;_ * "-"_)\ _C_F_A_ ;_ @_ </c:formatCode>
                <c:ptCount val="5"/>
                <c:pt idx="0">
                  <c:v>9699725.3334201183</c:v>
                </c:pt>
                <c:pt idx="1">
                  <c:v>320473601.89130688</c:v>
                </c:pt>
                <c:pt idx="2">
                  <c:v>334852268.31264687</c:v>
                </c:pt>
                <c:pt idx="3">
                  <c:v>350134813.01726717</c:v>
                </c:pt>
                <c:pt idx="4">
                  <c:v>366463045.1445092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5-423D-B4F4-6E73BE81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586713"/>
        <c:axId val="1152661022"/>
      </c:lineChart>
      <c:catAx>
        <c:axId val="1068586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52661022"/>
        <c:crosses val="autoZero"/>
        <c:auto val="1"/>
        <c:lblAlgn val="ctr"/>
        <c:lblOffset val="100"/>
        <c:noMultiLvlLbl val="1"/>
      </c:catAx>
      <c:valAx>
        <c:axId val="11526610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0685867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Envol CA, EBE, REX et RN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Données_Graph!$I$6:$M$6</c:f>
              <c:numCache>
                <c:formatCode>0%</c:formatCode>
                <c:ptCount val="5"/>
                <c:pt idx="0">
                  <c:v>0</c:v>
                </c:pt>
                <c:pt idx="1">
                  <c:v>5.6709302325581392</c:v>
                </c:pt>
                <c:pt idx="2">
                  <c:v>4.1511242809830921E-2</c:v>
                </c:pt>
                <c:pt idx="3">
                  <c:v>4.2504121235450373E-2</c:v>
                </c:pt>
                <c:pt idx="4">
                  <c:v>4.3575901630382871E-2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8-4FAC-A9A3-AD3DAF9127C2}"/>
            </c:ext>
          </c:extLst>
        </c:ser>
        <c:ser>
          <c:idx val="1"/>
          <c:order val="1"/>
          <c:tx>
            <c:v>EBE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Données_Graph!$I$7:$M$7</c:f>
              <c:numCache>
                <c:formatCode>0%</c:formatCode>
                <c:ptCount val="5"/>
                <c:pt idx="0">
                  <c:v>0</c:v>
                </c:pt>
                <c:pt idx="1">
                  <c:v>22.219963109960311</c:v>
                </c:pt>
                <c:pt idx="2">
                  <c:v>4.5669002710620417E-2</c:v>
                </c:pt>
                <c:pt idx="3">
                  <c:v>4.6625438852553609E-2</c:v>
                </c:pt>
                <c:pt idx="4">
                  <c:v>4.766406879922426E-2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8-4FAC-A9A3-AD3DAF9127C2}"/>
            </c:ext>
          </c:extLst>
        </c:ser>
        <c:ser>
          <c:idx val="2"/>
          <c:order val="2"/>
          <c:tx>
            <c:v>REX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Données_Graph!$I$8:$M$8</c:f>
              <c:numCache>
                <c:formatCode>0%</c:formatCode>
                <c:ptCount val="5"/>
                <c:pt idx="0">
                  <c:v>0</c:v>
                </c:pt>
                <c:pt idx="1">
                  <c:v>32.039451208698097</c:v>
                </c:pt>
                <c:pt idx="2">
                  <c:v>4.4866929246224499E-2</c:v>
                </c:pt>
                <c:pt idx="3">
                  <c:v>4.5639663071809396E-2</c:v>
                </c:pt>
                <c:pt idx="4">
                  <c:v>4.6634129255912503E-2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8-4FAC-A9A3-AD3DAF9127C2}"/>
            </c:ext>
          </c:extLst>
        </c:ser>
        <c:ser>
          <c:idx val="3"/>
          <c:order val="3"/>
          <c:tx>
            <c:v>RN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Données_Graph!$I$9:$M$9</c:f>
              <c:numCache>
                <c:formatCode>0%</c:formatCode>
                <c:ptCount val="5"/>
                <c:pt idx="0">
                  <c:v>0</c:v>
                </c:pt>
                <c:pt idx="1">
                  <c:v>32.039451208698097</c:v>
                </c:pt>
                <c:pt idx="2">
                  <c:v>4.4866929246224513E-2</c:v>
                </c:pt>
                <c:pt idx="3">
                  <c:v>4.563966307180934E-2</c:v>
                </c:pt>
                <c:pt idx="4">
                  <c:v>4.6634129255912607E-2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78-4FAC-A9A3-AD3DAF91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101473"/>
        <c:axId val="66214408"/>
      </c:lineChart>
      <c:catAx>
        <c:axId val="382101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6214408"/>
        <c:crosses val="autoZero"/>
        <c:auto val="1"/>
        <c:lblAlgn val="ctr"/>
        <c:lblOffset val="100"/>
        <c:noMultiLvlLbl val="1"/>
      </c:catAx>
      <c:valAx>
        <c:axId val="66214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821014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Quantité de pain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Nombre d'éléve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Données_Graph!$B$14:$F$14</c:f>
              <c:numCache>
                <c:formatCode>_ * #,##0_)\ _C_F_A_ ;_ * \(#,##0\)\ _C_F_A_ ;_ * "-"_)\ _C_F_A_ ;_ @_ </c:formatCode>
                <c:ptCount val="5"/>
                <c:pt idx="0">
                  <c:v>15</c:v>
                </c:pt>
                <c:pt idx="1">
                  <c:v>136.15</c:v>
                </c:pt>
                <c:pt idx="2">
                  <c:v>141.23250000000002</c:v>
                </c:pt>
                <c:pt idx="3">
                  <c:v>146.60177500000003</c:v>
                </c:pt>
                <c:pt idx="4">
                  <c:v>152.28503325000003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B71-B7DB-2904F48B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321886"/>
        <c:axId val="828657635"/>
      </c:lineChart>
      <c:catAx>
        <c:axId val="1208321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28657635"/>
        <c:crosses val="autoZero"/>
        <c:auto val="1"/>
        <c:lblAlgn val="ctr"/>
        <c:lblOffset val="100"/>
        <c:noMultiLvlLbl val="1"/>
      </c:catAx>
      <c:valAx>
        <c:axId val="8286576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083218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Evolution Cashflow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Cashflow IN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Données_Graph!$B$21:$F$21</c:f>
              <c:numCache>
                <c:formatCode>_ * #,##0_)\ _C_F_A_ ;_ * \(#,##0\)\ _C_F_A_ ;_ * "-"_)\ _C_F_A_ ;_ @_ </c:formatCode>
                <c:ptCount val="5"/>
                <c:pt idx="0">
                  <c:v>53229725.33342012</c:v>
                </c:pt>
                <c:pt idx="1">
                  <c:v>324703601.89130688</c:v>
                </c:pt>
                <c:pt idx="2">
                  <c:v>339082268.31264687</c:v>
                </c:pt>
                <c:pt idx="3">
                  <c:v>354364813.01726717</c:v>
                </c:pt>
                <c:pt idx="4">
                  <c:v>366463045.1445092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D-4611-A526-9713957195B4}"/>
            </c:ext>
          </c:extLst>
        </c:ser>
        <c:ser>
          <c:idx val="1"/>
          <c:order val="1"/>
          <c:tx>
            <c:v>Cashflow OUT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Données_Graph!$B$22:$F$22</c:f>
              <c:numCache>
                <c:formatCode>_ * #,##0_)\ _C_F_A_ ;_ * \(#,##0\)\ _C_F_A_ ;_ * "-"_)\ _C_F_A_ ;_ @_ </c:formatCode>
                <c:ptCount val="5"/>
                <c:pt idx="0">
                  <c:v>50040681.442235015</c:v>
                </c:pt>
                <c:pt idx="1">
                  <c:v>10740681.442235017</c:v>
                </c:pt>
                <c:pt idx="2">
                  <c:v>9627323.1167529505</c:v>
                </c:pt>
                <c:pt idx="3">
                  <c:v>9627323.1167529523</c:v>
                </c:pt>
                <c:pt idx="4">
                  <c:v>9627323.1167529505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D-4611-A526-97139571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115489"/>
        <c:axId val="421273199"/>
      </c:lineChart>
      <c:catAx>
        <c:axId val="1113115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21273199"/>
        <c:crosses val="autoZero"/>
        <c:auto val="1"/>
        <c:lblAlgn val="ctr"/>
        <c:lblOffset val="100"/>
        <c:noMultiLvlLbl val="1"/>
      </c:catAx>
      <c:valAx>
        <c:axId val="421273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311548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Evolution CAF et Cashflow Net</a:t>
            </a:r>
          </a:p>
        </c:rich>
      </c:tx>
      <c:layout>
        <c:manualLayout>
          <c:xMode val="edge"/>
          <c:yMode val="edge"/>
          <c:x val="0.26284471994312297"/>
          <c:y val="5.0167210868983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CAF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Données_Graph!$B$20:$F$20</c:f>
              <c:numCache>
                <c:formatCode>_ * #,##0_)\ _C_F_A_ ;_ * \(#,##0\)\ _C_F_A_ ;_ * "-"_)\ _C_F_A_ ;_ @_ </c:formatCode>
                <c:ptCount val="5"/>
                <c:pt idx="0">
                  <c:v>13929725.333420118</c:v>
                </c:pt>
                <c:pt idx="1">
                  <c:v>324703601.89130688</c:v>
                </c:pt>
                <c:pt idx="2">
                  <c:v>339082268.31264687</c:v>
                </c:pt>
                <c:pt idx="3">
                  <c:v>354364813.01726717</c:v>
                </c:pt>
                <c:pt idx="4">
                  <c:v>366463045.1445092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8-40EF-935A-A254414A4564}"/>
            </c:ext>
          </c:extLst>
        </c:ser>
        <c:ser>
          <c:idx val="1"/>
          <c:order val="1"/>
          <c:tx>
            <c:v>Cashflow Net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Données_Graph!$B$23:$F$23</c:f>
              <c:numCache>
                <c:formatCode>_ * #,##0_)\ _C_F_A_ ;_ * \(#,##0\)\ _C_F_A_ ;_ * "-"_)\ _C_F_A_ ;_ @_ </c:formatCode>
                <c:ptCount val="5"/>
                <c:pt idx="0">
                  <c:v>3189043.8911851048</c:v>
                </c:pt>
                <c:pt idx="1">
                  <c:v>313962920.44907188</c:v>
                </c:pt>
                <c:pt idx="2">
                  <c:v>329454945.19589394</c:v>
                </c:pt>
                <c:pt idx="3">
                  <c:v>344737489.90051425</c:v>
                </c:pt>
                <c:pt idx="4">
                  <c:v>356835722.02775627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8-40EF-935A-A254414A4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591594"/>
        <c:axId val="1811182592"/>
      </c:lineChart>
      <c:catAx>
        <c:axId val="1831591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11182592"/>
        <c:crosses val="autoZero"/>
        <c:auto val="1"/>
        <c:lblAlgn val="ctr"/>
        <c:lblOffset val="100"/>
        <c:noMultiLvlLbl val="1"/>
      </c:catAx>
      <c:valAx>
        <c:axId val="1811182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315915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fr-FR" b="1" i="0">
                <a:solidFill>
                  <a:srgbClr val="757575"/>
                </a:solidFill>
                <a:latin typeface="+mn-lt"/>
              </a:rPr>
              <a:t>Volume CA, EBE et 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Chiffre d'affaire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Données_Graph!$B$6:$F$6</c:f>
              <c:numCache>
                <c:formatCode>_ * #,##0_)\ _C_F_A_ ;_ * \(#,##0\)\ _C_F_A_ ;_ * "-"_)\ _C_F_A_ ;_ @_ </c:formatCode>
                <c:ptCount val="5"/>
                <c:pt idx="0">
                  <c:v>78475000</c:v>
                </c:pt>
                <c:pt idx="1">
                  <c:v>523501250</c:v>
                </c:pt>
                <c:pt idx="2">
                  <c:v>545232437.5</c:v>
                </c:pt>
                <c:pt idx="3">
                  <c:v>568407063.12500012</c:v>
                </c:pt>
                <c:pt idx="4">
                  <c:v>593175913.39374995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D4-4F60-BA89-B7DBC25DC7B8}"/>
            </c:ext>
          </c:extLst>
        </c:ser>
        <c:ser>
          <c:idx val="1"/>
          <c:order val="1"/>
          <c:tx>
            <c:v>Exédent Brut d'exploitation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Données_Graph!$B$7:$F$7</c:f>
              <c:numCache>
                <c:formatCode>_ * #,##0_)\ _C_F_A_ ;_ * \(#,##0\)\ _C_F_A_ ;_ * "-"_)\ _C_F_A_ ;_ @_ </c:formatCode>
                <c:ptCount val="5"/>
                <c:pt idx="0">
                  <c:v>20005400</c:v>
                </c:pt>
                <c:pt idx="1">
                  <c:v>464524650</c:v>
                </c:pt>
                <c:pt idx="2">
                  <c:v>485739027.5</c:v>
                </c:pt>
                <c:pt idx="3">
                  <c:v>508386822.82500011</c:v>
                </c:pt>
                <c:pt idx="4">
                  <c:v>532618607.32474995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D4-4F60-BA89-B7DBC25DC7B8}"/>
            </c:ext>
          </c:extLst>
        </c:ser>
        <c:ser>
          <c:idx val="2"/>
          <c:order val="2"/>
          <c:tx>
            <c:v>Résultat d'exploitation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Données_Graph!$B$8:$F$8</c:f>
              <c:numCache>
                <c:formatCode>_ * #,##0_)\ _C_F_A_ ;_ * \(#,##0\)\ _C_F_A_ ;_ * "-"_)\ _C_F_A_ ;_ @_ </c:formatCode>
                <c:ptCount val="5"/>
                <c:pt idx="0">
                  <c:v>13856750.476314455</c:v>
                </c:pt>
                <c:pt idx="1">
                  <c:v>457819431.27329552</c:v>
                </c:pt>
                <c:pt idx="2">
                  <c:v>478360383.30378121</c:v>
                </c:pt>
                <c:pt idx="3">
                  <c:v>500192590.02466738</c:v>
                </c:pt>
                <c:pt idx="4">
                  <c:v>523518635.92072737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5D4-4F60-BA89-B7DBC25DC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813454"/>
        <c:axId val="825768080"/>
      </c:barChart>
      <c:catAx>
        <c:axId val="368813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25768080"/>
        <c:crosses val="autoZero"/>
        <c:auto val="1"/>
        <c:lblAlgn val="ctr"/>
        <c:lblOffset val="100"/>
        <c:noMultiLvlLbl val="1"/>
      </c:catAx>
      <c:valAx>
        <c:axId val="82576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688134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fr-FR" b="1" i="0">
                <a:solidFill>
                  <a:srgbClr val="757575"/>
                </a:solidFill>
                <a:latin typeface="+mn-lt"/>
              </a:rPr>
              <a:t>Evolution CA et RN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Chiffre d'affaire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Données_Graph!$B$6:$F$6</c:f>
              <c:numCache>
                <c:formatCode>_ * #,##0_)\ _C_F_A_ ;_ * \(#,##0\)\ _C_F_A_ ;_ * "-"_)\ _C_F_A_ ;_ @_ </c:formatCode>
                <c:ptCount val="5"/>
                <c:pt idx="0">
                  <c:v>78475000</c:v>
                </c:pt>
                <c:pt idx="1">
                  <c:v>523501250</c:v>
                </c:pt>
                <c:pt idx="2">
                  <c:v>545232437.5</c:v>
                </c:pt>
                <c:pt idx="3">
                  <c:v>568407063.12500012</c:v>
                </c:pt>
                <c:pt idx="4">
                  <c:v>593175913.39374995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E-45FE-930A-236D2D3ECDA4}"/>
            </c:ext>
          </c:extLst>
        </c:ser>
        <c:ser>
          <c:idx val="1"/>
          <c:order val="1"/>
          <c:tx>
            <c:v>Résultat net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Données_Graph!$B$9:$F$9</c:f>
              <c:numCache>
                <c:formatCode>_ * #,##0_)\ _C_F_A_ ;_ * \(#,##0\)\ _C_F_A_ ;_ * "-"_)\ _C_F_A_ ;_ @_ </c:formatCode>
                <c:ptCount val="5"/>
                <c:pt idx="0">
                  <c:v>9699725.3334201183</c:v>
                </c:pt>
                <c:pt idx="1">
                  <c:v>320473601.89130688</c:v>
                </c:pt>
                <c:pt idx="2">
                  <c:v>334852268.31264687</c:v>
                </c:pt>
                <c:pt idx="3">
                  <c:v>350134813.01726717</c:v>
                </c:pt>
                <c:pt idx="4">
                  <c:v>366463045.1445092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E-45FE-930A-236D2D3EC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629439"/>
        <c:axId val="633262261"/>
      </c:lineChart>
      <c:catAx>
        <c:axId val="347629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33262261"/>
        <c:crosses val="autoZero"/>
        <c:auto val="1"/>
        <c:lblAlgn val="ctr"/>
        <c:lblOffset val="100"/>
        <c:noMultiLvlLbl val="1"/>
      </c:catAx>
      <c:valAx>
        <c:axId val="6332622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476294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fr-FR" b="1" i="0">
                <a:solidFill>
                  <a:srgbClr val="757575"/>
                </a:solidFill>
                <a:latin typeface="+mn-lt"/>
              </a:rPr>
              <a:t>Envol CA, EBE, REX et RN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Données_Graph!$I$6:$M$6</c:f>
              <c:numCache>
                <c:formatCode>0%</c:formatCode>
                <c:ptCount val="5"/>
                <c:pt idx="0">
                  <c:v>0</c:v>
                </c:pt>
                <c:pt idx="1">
                  <c:v>5.6709302325581392</c:v>
                </c:pt>
                <c:pt idx="2">
                  <c:v>4.1511242809830921E-2</c:v>
                </c:pt>
                <c:pt idx="3">
                  <c:v>4.2504121235450373E-2</c:v>
                </c:pt>
                <c:pt idx="4">
                  <c:v>4.3575901630382871E-2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8-42EC-9BE7-ECFCB2E9A4AB}"/>
            </c:ext>
          </c:extLst>
        </c:ser>
        <c:ser>
          <c:idx val="1"/>
          <c:order val="1"/>
          <c:tx>
            <c:v>EBE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Données_Graph!$I$7:$M$7</c:f>
              <c:numCache>
                <c:formatCode>0%</c:formatCode>
                <c:ptCount val="5"/>
                <c:pt idx="0">
                  <c:v>0</c:v>
                </c:pt>
                <c:pt idx="1">
                  <c:v>22.219963109960311</c:v>
                </c:pt>
                <c:pt idx="2">
                  <c:v>4.5669002710620417E-2</c:v>
                </c:pt>
                <c:pt idx="3">
                  <c:v>4.6625438852553609E-2</c:v>
                </c:pt>
                <c:pt idx="4">
                  <c:v>4.766406879922426E-2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8-42EC-9BE7-ECFCB2E9A4AB}"/>
            </c:ext>
          </c:extLst>
        </c:ser>
        <c:ser>
          <c:idx val="2"/>
          <c:order val="2"/>
          <c:tx>
            <c:v>REX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Données_Graph!$I$8:$M$8</c:f>
              <c:numCache>
                <c:formatCode>0%</c:formatCode>
                <c:ptCount val="5"/>
                <c:pt idx="0">
                  <c:v>0</c:v>
                </c:pt>
                <c:pt idx="1">
                  <c:v>32.039451208698097</c:v>
                </c:pt>
                <c:pt idx="2">
                  <c:v>4.4866929246224499E-2</c:v>
                </c:pt>
                <c:pt idx="3">
                  <c:v>4.5639663071809396E-2</c:v>
                </c:pt>
                <c:pt idx="4">
                  <c:v>4.6634129255912503E-2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8-42EC-9BE7-ECFCB2E9A4AB}"/>
            </c:ext>
          </c:extLst>
        </c:ser>
        <c:ser>
          <c:idx val="3"/>
          <c:order val="3"/>
          <c:tx>
            <c:v>RN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Données_Graph!$I$9:$M$9</c:f>
              <c:numCache>
                <c:formatCode>0%</c:formatCode>
                <c:ptCount val="5"/>
                <c:pt idx="0">
                  <c:v>0</c:v>
                </c:pt>
                <c:pt idx="1">
                  <c:v>32.039451208698097</c:v>
                </c:pt>
                <c:pt idx="2">
                  <c:v>4.4866929246224513E-2</c:v>
                </c:pt>
                <c:pt idx="3">
                  <c:v>4.563966307180934E-2</c:v>
                </c:pt>
                <c:pt idx="4">
                  <c:v>4.6634129255912607E-2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18-42EC-9BE7-ECFCB2E9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641881"/>
        <c:axId val="1636335840"/>
      </c:lineChart>
      <c:catAx>
        <c:axId val="2119641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36335840"/>
        <c:crosses val="autoZero"/>
        <c:auto val="1"/>
        <c:lblAlgn val="ctr"/>
        <c:lblOffset val="100"/>
        <c:noMultiLvlLbl val="1"/>
      </c:catAx>
      <c:valAx>
        <c:axId val="1636335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1196418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fr-FR" b="1" i="0">
                <a:solidFill>
                  <a:srgbClr val="757575"/>
                </a:solidFill>
                <a:latin typeface="+mn-lt"/>
              </a:rPr>
              <a:t>Evolution quantité de pain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290299615675988"/>
          <c:y val="0.19391832624021299"/>
          <c:w val="0.38719510432021298"/>
          <c:h val="0.53947889932101001"/>
        </c:manualLayout>
      </c:layout>
      <c:lineChart>
        <c:grouping val="standard"/>
        <c:varyColors val="0"/>
        <c:ser>
          <c:idx val="0"/>
          <c:order val="0"/>
          <c:tx>
            <c:v>Nombre de pains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Données_Graph!$B$14:$F$14</c:f>
              <c:numCache>
                <c:formatCode>_ * #,##0_)\ _C_F_A_ ;_ * \(#,##0\)\ _C_F_A_ ;_ * "-"_)\ _C_F_A_ ;_ @_ </c:formatCode>
                <c:ptCount val="5"/>
                <c:pt idx="0">
                  <c:v>15</c:v>
                </c:pt>
                <c:pt idx="1">
                  <c:v>136.15</c:v>
                </c:pt>
                <c:pt idx="2">
                  <c:v>141.23250000000002</c:v>
                </c:pt>
                <c:pt idx="3">
                  <c:v>146.60177500000003</c:v>
                </c:pt>
                <c:pt idx="4">
                  <c:v>152.28503325000003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3-4871-8EE0-A12B159F4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314661"/>
        <c:axId val="1937752649"/>
      </c:lineChart>
      <c:catAx>
        <c:axId val="535314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37752649"/>
        <c:crosses val="autoZero"/>
        <c:auto val="1"/>
        <c:lblAlgn val="ctr"/>
        <c:lblOffset val="100"/>
        <c:noMultiLvlLbl val="1"/>
      </c:catAx>
      <c:valAx>
        <c:axId val="19377526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353146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fr-FR" b="1" i="0">
                <a:solidFill>
                  <a:srgbClr val="757575"/>
                </a:solidFill>
                <a:latin typeface="+mn-lt"/>
              </a:rPr>
              <a:t>Evolution Cashflow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Cashflow IN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Données_Graph!$B$21:$F$21</c:f>
              <c:numCache>
                <c:formatCode>_ * #,##0_)\ _C_F_A_ ;_ * \(#,##0\)\ _C_F_A_ ;_ * "-"_)\ _C_F_A_ ;_ @_ </c:formatCode>
                <c:ptCount val="5"/>
                <c:pt idx="0">
                  <c:v>53229725.33342012</c:v>
                </c:pt>
                <c:pt idx="1">
                  <c:v>324703601.89130688</c:v>
                </c:pt>
                <c:pt idx="2">
                  <c:v>339082268.31264687</c:v>
                </c:pt>
                <c:pt idx="3">
                  <c:v>354364813.01726717</c:v>
                </c:pt>
                <c:pt idx="4">
                  <c:v>366463045.1445092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7-466C-BC66-2F3D0F20CA4B}"/>
            </c:ext>
          </c:extLst>
        </c:ser>
        <c:ser>
          <c:idx val="1"/>
          <c:order val="1"/>
          <c:tx>
            <c:v>Cashflow OUT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Données_Graph!$B$22:$F$22</c:f>
              <c:numCache>
                <c:formatCode>_ * #,##0_)\ _C_F_A_ ;_ * \(#,##0\)\ _C_F_A_ ;_ * "-"_)\ _C_F_A_ ;_ @_ </c:formatCode>
                <c:ptCount val="5"/>
                <c:pt idx="0">
                  <c:v>50040681.442235015</c:v>
                </c:pt>
                <c:pt idx="1">
                  <c:v>10740681.442235017</c:v>
                </c:pt>
                <c:pt idx="2">
                  <c:v>9627323.1167529505</c:v>
                </c:pt>
                <c:pt idx="3">
                  <c:v>9627323.1167529523</c:v>
                </c:pt>
                <c:pt idx="4">
                  <c:v>9627323.1167529505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87-466C-BC66-2F3D0F20C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402448"/>
        <c:axId val="700169280"/>
      </c:lineChart>
      <c:catAx>
        <c:axId val="206840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00169280"/>
        <c:crosses val="autoZero"/>
        <c:auto val="1"/>
        <c:lblAlgn val="ctr"/>
        <c:lblOffset val="100"/>
        <c:noMultiLvlLbl val="1"/>
      </c:catAx>
      <c:valAx>
        <c:axId val="700169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684024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fr-FR" b="1" i="0">
                <a:solidFill>
                  <a:srgbClr val="757575"/>
                </a:solidFill>
                <a:latin typeface="+mn-lt"/>
              </a:rPr>
              <a:t>Evolution CAF et Cashflow Net</a:t>
            </a:r>
          </a:p>
        </c:rich>
      </c:tx>
      <c:layout>
        <c:manualLayout>
          <c:xMode val="edge"/>
          <c:yMode val="edge"/>
          <c:x val="0.26284471994312297"/>
          <c:y val="5.0167210868983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CAF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Données_Graph!$B$20:$F$20</c:f>
              <c:numCache>
                <c:formatCode>_ * #,##0_)\ _C_F_A_ ;_ * \(#,##0\)\ _C_F_A_ ;_ * "-"_)\ _C_F_A_ ;_ @_ </c:formatCode>
                <c:ptCount val="5"/>
                <c:pt idx="0">
                  <c:v>13929725.333420118</c:v>
                </c:pt>
                <c:pt idx="1">
                  <c:v>324703601.89130688</c:v>
                </c:pt>
                <c:pt idx="2">
                  <c:v>339082268.31264687</c:v>
                </c:pt>
                <c:pt idx="3">
                  <c:v>354364813.01726717</c:v>
                </c:pt>
                <c:pt idx="4">
                  <c:v>366463045.1445092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6-4C0F-BD68-DF3E5EDF5A69}"/>
            </c:ext>
          </c:extLst>
        </c:ser>
        <c:ser>
          <c:idx val="1"/>
          <c:order val="1"/>
          <c:tx>
            <c:v>Cashflow Net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Données_Graph!$B$23:$F$23</c:f>
              <c:numCache>
                <c:formatCode>_ * #,##0_)\ _C_F_A_ ;_ * \(#,##0\)\ _C_F_A_ ;_ * "-"_)\ _C_F_A_ ;_ @_ </c:formatCode>
                <c:ptCount val="5"/>
                <c:pt idx="0">
                  <c:v>3189043.8911851048</c:v>
                </c:pt>
                <c:pt idx="1">
                  <c:v>313962920.44907188</c:v>
                </c:pt>
                <c:pt idx="2">
                  <c:v>329454945.19589394</c:v>
                </c:pt>
                <c:pt idx="3">
                  <c:v>344737489.90051425</c:v>
                </c:pt>
                <c:pt idx="4">
                  <c:v>356835722.02775627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6-4C0F-BD68-DF3E5EDF5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013427"/>
        <c:axId val="577300871"/>
      </c:lineChart>
      <c:catAx>
        <c:axId val="414013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77300871"/>
        <c:crosses val="autoZero"/>
        <c:auto val="1"/>
        <c:lblAlgn val="ctr"/>
        <c:lblOffset val="100"/>
        <c:noMultiLvlLbl val="1"/>
      </c:catAx>
      <c:valAx>
        <c:axId val="5773008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_ * #,##0_)\ _C_F_A_ ;_ * \(#,##0\)\ _C_F_A_ ;_ * &quot;-&quot;_)\ _C_F_A_ ;_ @_ 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140134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57</xdr:row>
      <xdr:rowOff>0</xdr:rowOff>
    </xdr:from>
    <xdr:ext cx="895350" cy="0"/>
    <xdr:pic>
      <xdr:nvPicPr>
        <xdr:cNvPr id="2" name="image14.png" descr="page53image353004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762000" cy="0"/>
    <xdr:pic>
      <xdr:nvPicPr>
        <xdr:cNvPr id="3" name="image6.png" descr="page53image352428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895350" cy="0"/>
    <xdr:pic>
      <xdr:nvPicPr>
        <xdr:cNvPr id="4" name="image11.png" descr="page53image352486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62</xdr:row>
      <xdr:rowOff>0</xdr:rowOff>
    </xdr:from>
    <xdr:ext cx="752475" cy="0"/>
    <xdr:pic>
      <xdr:nvPicPr>
        <xdr:cNvPr id="5" name="image18.png" descr="page53image35308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62</xdr:row>
      <xdr:rowOff>0</xdr:rowOff>
    </xdr:from>
    <xdr:ext cx="647700" cy="0"/>
    <xdr:pic>
      <xdr:nvPicPr>
        <xdr:cNvPr id="6" name="image20.png" descr="page53image353580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62</xdr:row>
      <xdr:rowOff>0</xdr:rowOff>
    </xdr:from>
    <xdr:ext cx="723900" cy="0"/>
    <xdr:pic>
      <xdr:nvPicPr>
        <xdr:cNvPr id="7" name="image17.png" descr="page53image340204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619125</xdr:colOff>
      <xdr:row>62</xdr:row>
      <xdr:rowOff>0</xdr:rowOff>
    </xdr:from>
    <xdr:ext cx="885825" cy="0"/>
    <xdr:pic>
      <xdr:nvPicPr>
        <xdr:cNvPr id="8" name="image11.png" descr="page53image339340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704850</xdr:colOff>
      <xdr:row>62</xdr:row>
      <xdr:rowOff>0</xdr:rowOff>
    </xdr:from>
    <xdr:ext cx="723900" cy="0"/>
    <xdr:pic>
      <xdr:nvPicPr>
        <xdr:cNvPr id="9" name="image17.png" descr="page53image339667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62</xdr:row>
      <xdr:rowOff>0</xdr:rowOff>
    </xdr:from>
    <xdr:ext cx="904875" cy="0"/>
    <xdr:pic>
      <xdr:nvPicPr>
        <xdr:cNvPr id="10" name="image3.png" descr="page53image339763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742950</xdr:colOff>
      <xdr:row>62</xdr:row>
      <xdr:rowOff>0</xdr:rowOff>
    </xdr:from>
    <xdr:ext cx="1066800" cy="0"/>
    <xdr:pic>
      <xdr:nvPicPr>
        <xdr:cNvPr id="11" name="image15.png" descr="page53image340512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895350" cy="0"/>
    <xdr:pic>
      <xdr:nvPicPr>
        <xdr:cNvPr id="12" name="image7.png" descr="page53image340185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68</xdr:row>
      <xdr:rowOff>0</xdr:rowOff>
    </xdr:from>
    <xdr:ext cx="752475" cy="0"/>
    <xdr:pic>
      <xdr:nvPicPr>
        <xdr:cNvPr id="13" name="image10.png" descr="page53image3406848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68</xdr:row>
      <xdr:rowOff>0</xdr:rowOff>
    </xdr:from>
    <xdr:ext cx="647700" cy="0"/>
    <xdr:pic>
      <xdr:nvPicPr>
        <xdr:cNvPr id="14" name="image12.png" descr="page53image3394560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695325</xdr:colOff>
      <xdr:row>68</xdr:row>
      <xdr:rowOff>0</xdr:rowOff>
    </xdr:from>
    <xdr:ext cx="723900" cy="0"/>
    <xdr:pic>
      <xdr:nvPicPr>
        <xdr:cNvPr id="15" name="image16.png" descr="page53image3398400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619125</xdr:colOff>
      <xdr:row>68</xdr:row>
      <xdr:rowOff>0</xdr:rowOff>
    </xdr:from>
    <xdr:ext cx="885825" cy="0"/>
    <xdr:pic>
      <xdr:nvPicPr>
        <xdr:cNvPr id="16" name="image7.png" descr="page53image340262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704850</xdr:colOff>
      <xdr:row>68</xdr:row>
      <xdr:rowOff>0</xdr:rowOff>
    </xdr:from>
    <xdr:ext cx="723900" cy="0"/>
    <xdr:pic>
      <xdr:nvPicPr>
        <xdr:cNvPr id="17" name="image16.png" descr="page53image3394944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628650</xdr:colOff>
      <xdr:row>68</xdr:row>
      <xdr:rowOff>0</xdr:rowOff>
    </xdr:from>
    <xdr:ext cx="904875" cy="0"/>
    <xdr:pic>
      <xdr:nvPicPr>
        <xdr:cNvPr id="18" name="image8.png" descr="page53image3393216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742950</xdr:colOff>
      <xdr:row>68</xdr:row>
      <xdr:rowOff>0</xdr:rowOff>
    </xdr:from>
    <xdr:ext cx="1066800" cy="0"/>
    <xdr:pic>
      <xdr:nvPicPr>
        <xdr:cNvPr id="19" name="image2.png" descr="page53image339417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200025</xdr:colOff>
      <xdr:row>68</xdr:row>
      <xdr:rowOff>0</xdr:rowOff>
    </xdr:from>
    <xdr:ext cx="885825" cy="0"/>
    <xdr:pic>
      <xdr:nvPicPr>
        <xdr:cNvPr id="20" name="image14.png" descr="page53image340627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68</xdr:row>
      <xdr:rowOff>0</xdr:rowOff>
    </xdr:from>
    <xdr:ext cx="752475" cy="0"/>
    <xdr:pic>
      <xdr:nvPicPr>
        <xdr:cNvPr id="21" name="image6.png" descr="page53image340128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238125</xdr:colOff>
      <xdr:row>68</xdr:row>
      <xdr:rowOff>0</xdr:rowOff>
    </xdr:from>
    <xdr:ext cx="638175" cy="0"/>
    <xdr:pic>
      <xdr:nvPicPr>
        <xdr:cNvPr id="22" name="image5.png" descr="page53image3405888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68</xdr:row>
      <xdr:rowOff>0</xdr:rowOff>
    </xdr:from>
    <xdr:ext cx="733425" cy="0"/>
    <xdr:pic>
      <xdr:nvPicPr>
        <xdr:cNvPr id="23" name="image9.png" descr="page53image3396480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68</xdr:row>
      <xdr:rowOff>0</xdr:rowOff>
    </xdr:from>
    <xdr:ext cx="723900" cy="0"/>
    <xdr:pic>
      <xdr:nvPicPr>
        <xdr:cNvPr id="24" name="image19.png" descr="page53image34074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</xdr:colOff>
      <xdr:row>68</xdr:row>
      <xdr:rowOff>0</xdr:rowOff>
    </xdr:from>
    <xdr:ext cx="904875" cy="0"/>
    <xdr:pic>
      <xdr:nvPicPr>
        <xdr:cNvPr id="25" name="image4.png" descr="page53image3404928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68</xdr:row>
      <xdr:rowOff>0</xdr:rowOff>
    </xdr:from>
    <xdr:ext cx="1076325" cy="0"/>
    <xdr:pic>
      <xdr:nvPicPr>
        <xdr:cNvPr id="26" name="image13.png" descr="page53image340435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400050</xdr:colOff>
      <xdr:row>68</xdr:row>
      <xdr:rowOff>0</xdr:rowOff>
    </xdr:from>
    <xdr:ext cx="885825" cy="0"/>
    <xdr:pic>
      <xdr:nvPicPr>
        <xdr:cNvPr id="27" name="image14.png" descr="page53image3395712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495300</xdr:colOff>
      <xdr:row>68</xdr:row>
      <xdr:rowOff>0</xdr:rowOff>
    </xdr:from>
    <xdr:ext cx="752475" cy="0"/>
    <xdr:pic>
      <xdr:nvPicPr>
        <xdr:cNvPr id="28" name="image6.png" descr="page53image3376256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438150</xdr:colOff>
      <xdr:row>68</xdr:row>
      <xdr:rowOff>0</xdr:rowOff>
    </xdr:from>
    <xdr:ext cx="638175" cy="0"/>
    <xdr:pic>
      <xdr:nvPicPr>
        <xdr:cNvPr id="29" name="image5.png" descr="page53image3383360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276225</xdr:colOff>
      <xdr:row>68</xdr:row>
      <xdr:rowOff>0</xdr:rowOff>
    </xdr:from>
    <xdr:ext cx="723900" cy="0"/>
    <xdr:pic>
      <xdr:nvPicPr>
        <xdr:cNvPr id="30" name="image19.png" descr="page53image3377600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200025</xdr:colOff>
      <xdr:row>68</xdr:row>
      <xdr:rowOff>0</xdr:rowOff>
    </xdr:from>
    <xdr:ext cx="885825" cy="0"/>
    <xdr:pic>
      <xdr:nvPicPr>
        <xdr:cNvPr id="31" name="image14.png" descr="page53image3376064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285750</xdr:colOff>
      <xdr:row>68</xdr:row>
      <xdr:rowOff>0</xdr:rowOff>
    </xdr:from>
    <xdr:ext cx="723900" cy="0"/>
    <xdr:pic>
      <xdr:nvPicPr>
        <xdr:cNvPr id="32" name="image19.png" descr="page53image3377216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209550</xdr:colOff>
      <xdr:row>68</xdr:row>
      <xdr:rowOff>0</xdr:rowOff>
    </xdr:from>
    <xdr:ext cx="904875" cy="0"/>
    <xdr:pic>
      <xdr:nvPicPr>
        <xdr:cNvPr id="33" name="image4.png" descr="page53image3378368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323850</xdr:colOff>
      <xdr:row>68</xdr:row>
      <xdr:rowOff>0</xdr:rowOff>
    </xdr:from>
    <xdr:ext cx="1076325" cy="0"/>
    <xdr:pic>
      <xdr:nvPicPr>
        <xdr:cNvPr id="34" name="image13.png" descr="page53image3375488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609600</xdr:colOff>
      <xdr:row>68</xdr:row>
      <xdr:rowOff>0</xdr:rowOff>
    </xdr:from>
    <xdr:ext cx="885825" cy="0"/>
    <xdr:pic>
      <xdr:nvPicPr>
        <xdr:cNvPr id="35" name="image7.png" descr="page53image337702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695325</xdr:colOff>
      <xdr:row>68</xdr:row>
      <xdr:rowOff>0</xdr:rowOff>
    </xdr:from>
    <xdr:ext cx="752475" cy="0"/>
    <xdr:pic>
      <xdr:nvPicPr>
        <xdr:cNvPr id="36" name="image10.png" descr="page53image3377792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647700</xdr:colOff>
      <xdr:row>68</xdr:row>
      <xdr:rowOff>0</xdr:rowOff>
    </xdr:from>
    <xdr:ext cx="638175" cy="0"/>
    <xdr:pic>
      <xdr:nvPicPr>
        <xdr:cNvPr id="37" name="image12.png" descr="page53image337817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476250</xdr:colOff>
      <xdr:row>68</xdr:row>
      <xdr:rowOff>0</xdr:rowOff>
    </xdr:from>
    <xdr:ext cx="723900" cy="0"/>
    <xdr:pic>
      <xdr:nvPicPr>
        <xdr:cNvPr id="38" name="image16.png" descr="page53image3388544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400050</xdr:colOff>
      <xdr:row>68</xdr:row>
      <xdr:rowOff>0</xdr:rowOff>
    </xdr:from>
    <xdr:ext cx="885825" cy="0"/>
    <xdr:pic>
      <xdr:nvPicPr>
        <xdr:cNvPr id="39" name="image7.png" descr="page53image3381440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495300</xdr:colOff>
      <xdr:row>68</xdr:row>
      <xdr:rowOff>0</xdr:rowOff>
    </xdr:from>
    <xdr:ext cx="723900" cy="0"/>
    <xdr:pic>
      <xdr:nvPicPr>
        <xdr:cNvPr id="40" name="image16.png" descr="page53image3384128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419100</xdr:colOff>
      <xdr:row>68</xdr:row>
      <xdr:rowOff>0</xdr:rowOff>
    </xdr:from>
    <xdr:ext cx="904875" cy="0"/>
    <xdr:pic>
      <xdr:nvPicPr>
        <xdr:cNvPr id="41" name="image8.png" descr="page53image3375872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533400</xdr:colOff>
      <xdr:row>68</xdr:row>
      <xdr:rowOff>0</xdr:rowOff>
    </xdr:from>
    <xdr:ext cx="1076325" cy="0"/>
    <xdr:pic>
      <xdr:nvPicPr>
        <xdr:cNvPr id="42" name="image2.png" descr="page53image3376448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68</xdr:row>
      <xdr:rowOff>0</xdr:rowOff>
    </xdr:from>
    <xdr:ext cx="809625" cy="9525"/>
    <xdr:pic>
      <xdr:nvPicPr>
        <xdr:cNvPr id="43" name="image21.png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9525</xdr:rowOff>
    </xdr:from>
    <xdr:ext cx="3733800" cy="2543175"/>
    <xdr:graphicFrame macro="">
      <xdr:nvGraphicFramePr>
        <xdr:cNvPr id="2044874123" name="Chart 1">
          <a:extLst>
            <a:ext uri="{FF2B5EF4-FFF2-40B4-BE49-F238E27FC236}">
              <a16:creationId xmlns:a16="http://schemas.microsoft.com/office/drawing/2014/main" id="{00000000-0008-0000-0B00-00008B4DE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190500</xdr:colOff>
      <xdr:row>31</xdr:row>
      <xdr:rowOff>9525</xdr:rowOff>
    </xdr:from>
    <xdr:ext cx="3781425" cy="2543175"/>
    <xdr:graphicFrame macro="">
      <xdr:nvGraphicFramePr>
        <xdr:cNvPr id="1931779292" name="Chart 2">
          <a:extLst>
            <a:ext uri="{FF2B5EF4-FFF2-40B4-BE49-F238E27FC236}">
              <a16:creationId xmlns:a16="http://schemas.microsoft.com/office/drawing/2014/main" id="{00000000-0008-0000-0B00-0000DC9C2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952500</xdr:colOff>
      <xdr:row>31</xdr:row>
      <xdr:rowOff>0</xdr:rowOff>
    </xdr:from>
    <xdr:ext cx="3467100" cy="2543175"/>
    <xdr:graphicFrame macro="">
      <xdr:nvGraphicFramePr>
        <xdr:cNvPr id="1216153054" name="Chart 3">
          <a:extLst>
            <a:ext uri="{FF2B5EF4-FFF2-40B4-BE49-F238E27FC236}">
              <a16:creationId xmlns:a16="http://schemas.microsoft.com/office/drawing/2014/main" id="{00000000-0008-0000-0B00-0000DE057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6</xdr:col>
      <xdr:colOff>971550</xdr:colOff>
      <xdr:row>46</xdr:row>
      <xdr:rowOff>161925</xdr:rowOff>
    </xdr:from>
    <xdr:ext cx="3457575" cy="2571750"/>
    <xdr:graphicFrame macro="">
      <xdr:nvGraphicFramePr>
        <xdr:cNvPr id="912056073" name="Chart 4">
          <a:extLst>
            <a:ext uri="{FF2B5EF4-FFF2-40B4-BE49-F238E27FC236}">
              <a16:creationId xmlns:a16="http://schemas.microsoft.com/office/drawing/2014/main" id="{00000000-0008-0000-0B00-000009DF5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19050</xdr:rowOff>
    </xdr:from>
    <xdr:ext cx="3905250" cy="2552700"/>
    <xdr:graphicFrame macro="">
      <xdr:nvGraphicFramePr>
        <xdr:cNvPr id="1075444264" name="Chart 5">
          <a:extLst>
            <a:ext uri="{FF2B5EF4-FFF2-40B4-BE49-F238E27FC236}">
              <a16:creationId xmlns:a16="http://schemas.microsoft.com/office/drawing/2014/main" id="{00000000-0008-0000-0B00-000028FA1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190500</xdr:colOff>
      <xdr:row>47</xdr:row>
      <xdr:rowOff>0</xdr:rowOff>
    </xdr:from>
    <xdr:ext cx="3800475" cy="2571750"/>
    <xdr:graphicFrame macro="">
      <xdr:nvGraphicFramePr>
        <xdr:cNvPr id="1369063202" name="Chart 6">
          <a:extLst>
            <a:ext uri="{FF2B5EF4-FFF2-40B4-BE49-F238E27FC236}">
              <a16:creationId xmlns:a16="http://schemas.microsoft.com/office/drawing/2014/main" id="{00000000-0008-0000-0B00-0000223F9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372100" cy="2943225"/>
    <xdr:graphicFrame macro="">
      <xdr:nvGraphicFramePr>
        <xdr:cNvPr id="326836352" name="Chart 7">
          <a:extLst>
            <a:ext uri="{FF2B5EF4-FFF2-40B4-BE49-F238E27FC236}">
              <a16:creationId xmlns:a16="http://schemas.microsoft.com/office/drawing/2014/main" id="{00000000-0008-0000-0C00-000080207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0</xdr:colOff>
      <xdr:row>1</xdr:row>
      <xdr:rowOff>9525</xdr:rowOff>
    </xdr:from>
    <xdr:ext cx="5248275" cy="2914650"/>
    <xdr:graphicFrame macro="">
      <xdr:nvGraphicFramePr>
        <xdr:cNvPr id="31289948" name="Chart 8">
          <a:extLst>
            <a:ext uri="{FF2B5EF4-FFF2-40B4-BE49-F238E27FC236}">
              <a16:creationId xmlns:a16="http://schemas.microsoft.com/office/drawing/2014/main" id="{00000000-0008-0000-0C00-00005C72D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9525</xdr:colOff>
      <xdr:row>1</xdr:row>
      <xdr:rowOff>9525</xdr:rowOff>
    </xdr:from>
    <xdr:ext cx="4533900" cy="2990850"/>
    <xdr:graphicFrame macro="">
      <xdr:nvGraphicFramePr>
        <xdr:cNvPr id="174545229" name="Chart 9">
          <a:extLst>
            <a:ext uri="{FF2B5EF4-FFF2-40B4-BE49-F238E27FC236}">
              <a16:creationId xmlns:a16="http://schemas.microsoft.com/office/drawing/2014/main" id="{00000000-0008-0000-0C00-00004D596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9525</xdr:colOff>
      <xdr:row>17</xdr:row>
      <xdr:rowOff>0</xdr:rowOff>
    </xdr:from>
    <xdr:ext cx="4781550" cy="3343275"/>
    <xdr:graphicFrame macro="">
      <xdr:nvGraphicFramePr>
        <xdr:cNvPr id="1390703845" name="Chart 10" title="Graphique">
          <a:extLst>
            <a:ext uri="{FF2B5EF4-FFF2-40B4-BE49-F238E27FC236}">
              <a16:creationId xmlns:a16="http://schemas.microsoft.com/office/drawing/2014/main" id="{00000000-0008-0000-0C00-0000E574E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19050</xdr:rowOff>
    </xdr:from>
    <xdr:ext cx="5372100" cy="3333750"/>
    <xdr:graphicFrame macro="">
      <xdr:nvGraphicFramePr>
        <xdr:cNvPr id="1442794204" name="Chart 11">
          <a:extLst>
            <a:ext uri="{FF2B5EF4-FFF2-40B4-BE49-F238E27FC236}">
              <a16:creationId xmlns:a16="http://schemas.microsoft.com/office/drawing/2014/main" id="{00000000-0008-0000-0C00-0000DC4AF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4</xdr:col>
      <xdr:colOff>0</xdr:colOff>
      <xdr:row>17</xdr:row>
      <xdr:rowOff>0</xdr:rowOff>
    </xdr:from>
    <xdr:ext cx="5257800" cy="3343275"/>
    <xdr:graphicFrame macro="">
      <xdr:nvGraphicFramePr>
        <xdr:cNvPr id="670027866" name="Chart 12">
          <a:extLst>
            <a:ext uri="{FF2B5EF4-FFF2-40B4-BE49-F238E27FC236}">
              <a16:creationId xmlns:a16="http://schemas.microsoft.com/office/drawing/2014/main" id="{00000000-0008-0000-0C00-00005AD0E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94D4-E83F-4ACF-9741-D4494BC0E12D}">
  <sheetPr>
    <tabColor theme="7"/>
  </sheetPr>
  <dimension ref="B2:L23"/>
  <sheetViews>
    <sheetView topLeftCell="A5" workbookViewId="0">
      <selection activeCell="E9" sqref="E9:F9"/>
    </sheetView>
  </sheetViews>
  <sheetFormatPr defaultColWidth="11.42578125" defaultRowHeight="14.45"/>
  <cols>
    <col min="1" max="1" width="2.28515625" customWidth="1"/>
    <col min="2" max="2" width="3.28515625" customWidth="1"/>
    <col min="6" max="6" width="31.5703125" customWidth="1"/>
    <col min="8" max="8" width="3.7109375" customWidth="1"/>
    <col min="9" max="9" width="16.140625" customWidth="1"/>
    <col min="10" max="10" width="2.140625" customWidth="1"/>
  </cols>
  <sheetData>
    <row r="2" spans="2:12" ht="23.45">
      <c r="B2" s="220"/>
      <c r="C2" s="348" t="s">
        <v>0</v>
      </c>
      <c r="D2" s="349"/>
      <c r="E2" s="349"/>
      <c r="F2" s="349"/>
      <c r="G2" s="349"/>
      <c r="H2" s="349"/>
      <c r="I2" s="349"/>
      <c r="J2" s="349"/>
      <c r="K2" s="349"/>
      <c r="L2" s="349"/>
    </row>
    <row r="3" spans="2:12">
      <c r="B3" s="220"/>
      <c r="C3" s="4"/>
      <c r="D3" s="4"/>
      <c r="E3" s="4"/>
      <c r="F3" s="4"/>
      <c r="G3" s="339"/>
      <c r="H3" s="339"/>
      <c r="I3" s="339"/>
      <c r="J3" s="339"/>
      <c r="K3" s="339"/>
      <c r="L3" s="339"/>
    </row>
    <row r="4" spans="2:12">
      <c r="B4" s="220"/>
      <c r="C4" s="4"/>
      <c r="D4" s="4"/>
      <c r="E4" s="4"/>
      <c r="F4" s="4"/>
      <c r="G4" s="339"/>
      <c r="H4" s="339"/>
      <c r="I4" s="339"/>
      <c r="J4" s="339"/>
      <c r="K4" s="339"/>
      <c r="L4" s="339"/>
    </row>
    <row r="5" spans="2:12" ht="15.6" thickBot="1">
      <c r="B5" s="220"/>
      <c r="C5" s="344" t="s">
        <v>1</v>
      </c>
      <c r="D5" s="350"/>
      <c r="E5" s="350"/>
      <c r="F5" s="351"/>
      <c r="G5" s="339"/>
      <c r="H5" s="344" t="s">
        <v>2</v>
      </c>
      <c r="I5" s="345"/>
      <c r="J5" s="345"/>
      <c r="K5" s="345"/>
      <c r="L5" s="345"/>
    </row>
    <row r="6" spans="2:12" ht="15" thickTop="1">
      <c r="B6" s="220"/>
      <c r="C6" s="5"/>
      <c r="D6" s="5"/>
      <c r="E6" s="5"/>
      <c r="F6" s="6"/>
      <c r="G6" s="339"/>
      <c r="H6" s="339"/>
      <c r="I6" s="339"/>
      <c r="J6" s="339"/>
      <c r="K6" s="339"/>
      <c r="L6" s="339"/>
    </row>
    <row r="7" spans="2:12">
      <c r="B7" s="220"/>
      <c r="C7" s="343" t="s">
        <v>3</v>
      </c>
      <c r="D7" s="343"/>
      <c r="E7" s="347" t="s">
        <v>4</v>
      </c>
      <c r="F7" s="347"/>
      <c r="G7" s="339"/>
      <c r="H7" s="220"/>
      <c r="I7" s="343" t="s">
        <v>5</v>
      </c>
      <c r="J7" s="343"/>
      <c r="K7" s="341"/>
      <c r="L7" s="341"/>
    </row>
    <row r="8" spans="2:12">
      <c r="B8" s="220"/>
      <c r="C8" s="340"/>
      <c r="D8" s="340"/>
      <c r="E8" s="7"/>
      <c r="F8" s="7"/>
      <c r="G8" s="339"/>
      <c r="H8" s="220"/>
      <c r="I8" s="340"/>
      <c r="J8" s="340"/>
      <c r="K8" s="7"/>
      <c r="L8" s="7"/>
    </row>
    <row r="9" spans="2:12">
      <c r="B9" s="220"/>
      <c r="C9" s="343" t="s">
        <v>6</v>
      </c>
      <c r="D9" s="343"/>
      <c r="E9" s="347"/>
      <c r="F9" s="347"/>
      <c r="G9" s="339"/>
      <c r="H9" s="220"/>
      <c r="I9" s="343" t="s">
        <v>7</v>
      </c>
      <c r="J9" s="346"/>
      <c r="K9" s="341"/>
      <c r="L9" s="341"/>
    </row>
    <row r="10" spans="2:12">
      <c r="B10" s="220"/>
      <c r="C10" s="340"/>
      <c r="D10" s="340"/>
      <c r="E10" s="7"/>
      <c r="F10" s="7"/>
      <c r="G10" s="339"/>
      <c r="H10" s="220"/>
      <c r="I10" s="340"/>
      <c r="J10" s="340"/>
      <c r="K10" s="7"/>
      <c r="L10" s="7"/>
    </row>
    <row r="11" spans="2:12">
      <c r="B11" s="220"/>
      <c r="C11" s="343" t="s">
        <v>8</v>
      </c>
      <c r="D11" s="343"/>
      <c r="E11" s="347"/>
      <c r="F11" s="347"/>
      <c r="G11" s="339"/>
      <c r="H11" s="220"/>
      <c r="I11" s="343" t="s">
        <v>9</v>
      </c>
      <c r="J11" s="346"/>
      <c r="K11" s="333"/>
      <c r="L11" s="341"/>
    </row>
    <row r="12" spans="2:12">
      <c r="B12" s="220"/>
      <c r="C12" s="340"/>
      <c r="D12" s="340"/>
      <c r="E12" s="7"/>
      <c r="F12" s="7"/>
      <c r="G12" s="339"/>
      <c r="H12" s="220"/>
      <c r="I12" s="340"/>
      <c r="J12" s="340"/>
      <c r="K12" s="7"/>
      <c r="L12" s="8"/>
    </row>
    <row r="13" spans="2:12">
      <c r="B13" s="220"/>
      <c r="C13" s="343" t="s">
        <v>10</v>
      </c>
      <c r="D13" s="343"/>
      <c r="E13" s="347"/>
      <c r="F13" s="347"/>
      <c r="G13" s="339"/>
      <c r="H13" s="220"/>
      <c r="I13" s="343" t="s">
        <v>11</v>
      </c>
      <c r="J13" s="346"/>
      <c r="K13" s="341"/>
      <c r="L13" s="341"/>
    </row>
    <row r="14" spans="2:12">
      <c r="B14" s="220"/>
      <c r="C14" s="340"/>
      <c r="D14" s="340"/>
      <c r="E14" s="7"/>
      <c r="F14" s="7"/>
      <c r="G14" s="339"/>
      <c r="H14" s="220"/>
      <c r="I14" s="340"/>
      <c r="J14" s="340"/>
      <c r="K14" s="7"/>
      <c r="L14" s="7"/>
    </row>
    <row r="15" spans="2:12">
      <c r="B15" s="220"/>
      <c r="C15" s="343" t="s">
        <v>12</v>
      </c>
      <c r="D15" s="343"/>
      <c r="E15" s="347"/>
      <c r="F15" s="352"/>
      <c r="G15" s="339"/>
      <c r="H15" s="220"/>
      <c r="I15" s="343" t="s">
        <v>13</v>
      </c>
      <c r="J15" s="346"/>
      <c r="K15" s="341"/>
      <c r="L15" s="341"/>
    </row>
    <row r="16" spans="2:12">
      <c r="B16" s="220"/>
      <c r="C16" s="340"/>
      <c r="D16" s="340"/>
      <c r="E16" s="7"/>
      <c r="F16" s="7"/>
      <c r="G16" s="339"/>
      <c r="H16" s="220"/>
      <c r="I16" s="340"/>
      <c r="J16" s="340"/>
      <c r="K16" s="7"/>
      <c r="L16" s="7"/>
    </row>
    <row r="17" spans="2:12">
      <c r="B17" s="220"/>
      <c r="C17" s="343" t="s">
        <v>14</v>
      </c>
      <c r="D17" s="343"/>
      <c r="E17" s="341"/>
      <c r="F17" s="341"/>
      <c r="G17" s="339"/>
      <c r="H17" s="220"/>
      <c r="I17" s="343" t="s">
        <v>15</v>
      </c>
      <c r="J17" s="346"/>
      <c r="K17" s="341"/>
      <c r="L17" s="222"/>
    </row>
    <row r="18" spans="2:12">
      <c r="B18" s="220"/>
      <c r="C18" s="340"/>
      <c r="D18" s="340"/>
      <c r="E18" s="7"/>
      <c r="F18" s="335"/>
      <c r="G18" s="339"/>
      <c r="H18" s="339"/>
      <c r="I18" s="339"/>
      <c r="J18" s="339"/>
      <c r="K18" s="339"/>
      <c r="L18" s="339"/>
    </row>
    <row r="19" spans="2:12">
      <c r="B19" s="220"/>
      <c r="C19" s="343" t="s">
        <v>16</v>
      </c>
      <c r="D19" s="343"/>
      <c r="E19" s="341"/>
      <c r="F19" s="341"/>
      <c r="G19" s="339"/>
      <c r="H19" s="339"/>
      <c r="I19" s="339"/>
      <c r="J19" s="339"/>
      <c r="K19" s="339"/>
      <c r="L19" s="339"/>
    </row>
    <row r="20" spans="2:12">
      <c r="B20" s="220"/>
      <c r="C20" s="339"/>
      <c r="D20" s="339"/>
      <c r="E20" s="336"/>
      <c r="F20" s="336"/>
      <c r="G20" s="339"/>
      <c r="H20" s="339"/>
      <c r="I20" s="339"/>
      <c r="J20" s="339"/>
      <c r="K20" s="339"/>
      <c r="L20" s="339"/>
    </row>
    <row r="21" spans="2:12">
      <c r="B21" s="220"/>
      <c r="C21" s="343" t="s">
        <v>17</v>
      </c>
      <c r="D21" s="343"/>
      <c r="E21" s="341"/>
      <c r="F21" s="341"/>
      <c r="G21" s="339"/>
      <c r="H21" s="339"/>
      <c r="I21" s="339"/>
      <c r="J21" s="339"/>
      <c r="K21" s="339"/>
      <c r="L21" s="339"/>
    </row>
    <row r="22" spans="2:12">
      <c r="B22" s="220"/>
      <c r="C22" s="339"/>
      <c r="D22" s="339"/>
      <c r="E22" s="336"/>
      <c r="F22" s="336"/>
      <c r="G22" s="339"/>
      <c r="H22" s="339"/>
      <c r="I22" s="339"/>
      <c r="J22" s="339"/>
      <c r="K22" s="339"/>
      <c r="L22" s="339"/>
    </row>
    <row r="23" spans="2:12">
      <c r="B23" s="220"/>
      <c r="C23" s="343" t="s">
        <v>18</v>
      </c>
      <c r="D23" s="343"/>
      <c r="E23" s="341"/>
      <c r="F23" s="341"/>
      <c r="G23" s="339"/>
      <c r="H23" s="339"/>
      <c r="I23" s="339"/>
      <c r="J23" s="339"/>
      <c r="K23" s="339"/>
      <c r="L23" s="339"/>
    </row>
  </sheetData>
  <mergeCells count="23">
    <mergeCell ref="C2:L2"/>
    <mergeCell ref="I15:J15"/>
    <mergeCell ref="C5:F5"/>
    <mergeCell ref="C7:D7"/>
    <mergeCell ref="C13:D13"/>
    <mergeCell ref="C15:D15"/>
    <mergeCell ref="E15:F15"/>
    <mergeCell ref="C21:D21"/>
    <mergeCell ref="H5:L5"/>
    <mergeCell ref="C23:D23"/>
    <mergeCell ref="C19:D19"/>
    <mergeCell ref="I17:J17"/>
    <mergeCell ref="E7:F7"/>
    <mergeCell ref="E13:F13"/>
    <mergeCell ref="C9:D9"/>
    <mergeCell ref="E9:F9"/>
    <mergeCell ref="C11:D11"/>
    <mergeCell ref="E11:F11"/>
    <mergeCell ref="C17:D17"/>
    <mergeCell ref="I7:J7"/>
    <mergeCell ref="I9:J9"/>
    <mergeCell ref="I11:J11"/>
    <mergeCell ref="I13:J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Z1008"/>
  <sheetViews>
    <sheetView showGridLines="0" topLeftCell="A75" workbookViewId="0">
      <selection activeCell="I68" sqref="I68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5.42578125" customWidth="1"/>
    <col min="4" max="4" width="24.7109375" customWidth="1"/>
    <col min="5" max="6" width="30.140625" customWidth="1"/>
    <col min="7" max="7" width="22.140625" customWidth="1"/>
    <col min="8" max="8" width="19.7109375" customWidth="1"/>
    <col min="9" max="9" width="18.28515625" customWidth="1"/>
    <col min="10" max="26" width="12.28515625" customWidth="1"/>
  </cols>
  <sheetData>
    <row r="1" spans="1:26" ht="8.25" customHeight="1">
      <c r="A1" s="219"/>
      <c r="B1" s="220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39"/>
      <c r="Y1" s="339"/>
      <c r="Z1" s="339"/>
    </row>
    <row r="2" spans="1:26" ht="45.75" customHeight="1">
      <c r="A2" s="219"/>
      <c r="B2" s="220"/>
      <c r="C2" s="353" t="s">
        <v>19</v>
      </c>
      <c r="D2" s="346"/>
      <c r="E2" s="346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39"/>
      <c r="Y2" s="339"/>
      <c r="Z2" s="339"/>
    </row>
    <row r="3" spans="1:26" ht="15" customHeight="1">
      <c r="A3" s="219"/>
      <c r="B3" s="220"/>
      <c r="C3" s="1"/>
      <c r="D3" s="1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339"/>
      <c r="Y3" s="339"/>
      <c r="Z3" s="339"/>
    </row>
    <row r="4" spans="1:26" ht="15" customHeight="1">
      <c r="A4" s="219"/>
      <c r="B4" s="22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339"/>
      <c r="Y4" s="339"/>
      <c r="Z4" s="339"/>
    </row>
    <row r="5" spans="1:26" ht="13.5" customHeight="1">
      <c r="A5" s="219"/>
      <c r="B5" s="22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339"/>
      <c r="Y5" s="339"/>
      <c r="Z5" s="339"/>
    </row>
    <row r="6" spans="1:26" ht="13.5" customHeight="1">
      <c r="A6" s="219"/>
      <c r="B6" s="2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339"/>
      <c r="Y6" s="339"/>
      <c r="Z6" s="339"/>
    </row>
    <row r="7" spans="1:26" ht="28.5" customHeight="1">
      <c r="A7" s="219"/>
      <c r="B7" s="220"/>
      <c r="C7" s="354" t="s">
        <v>20</v>
      </c>
      <c r="D7" s="350"/>
      <c r="E7" s="350"/>
      <c r="F7" s="35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339"/>
      <c r="Y7" s="339"/>
      <c r="Z7" s="339"/>
    </row>
    <row r="8" spans="1:26" ht="13.5" customHeight="1">
      <c r="A8" s="219"/>
      <c r="B8" s="220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339"/>
      <c r="Y8" s="339"/>
      <c r="Z8" s="339"/>
    </row>
    <row r="9" spans="1:26" ht="13.5" customHeight="1">
      <c r="A9" s="219"/>
      <c r="B9" s="220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219"/>
      <c r="B10" s="220"/>
      <c r="C10" s="344" t="s">
        <v>1</v>
      </c>
      <c r="D10" s="350"/>
      <c r="E10" s="350"/>
      <c r="F10" s="35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219"/>
      <c r="B11" s="220"/>
      <c r="C11" s="5"/>
      <c r="D11" s="5"/>
      <c r="E11" s="5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219"/>
      <c r="B12" s="220"/>
      <c r="C12" s="343" t="s">
        <v>3</v>
      </c>
      <c r="D12" s="346"/>
      <c r="E12" s="332"/>
      <c r="F12" s="2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219"/>
      <c r="B13" s="220"/>
      <c r="C13" s="340"/>
      <c r="D13" s="340"/>
      <c r="E13" s="7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219"/>
      <c r="B14" s="220"/>
      <c r="C14" s="343" t="s">
        <v>21</v>
      </c>
      <c r="D14" s="346"/>
      <c r="E14" s="341"/>
      <c r="F14" s="34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219"/>
      <c r="B15" s="220"/>
      <c r="C15" s="340"/>
      <c r="D15" s="340"/>
      <c r="E15" s="7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219"/>
      <c r="B16" s="220"/>
      <c r="C16" s="343" t="s">
        <v>22</v>
      </c>
      <c r="D16" s="346"/>
      <c r="E16" s="347"/>
      <c r="F16" s="35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219"/>
      <c r="B17" s="220"/>
      <c r="C17" s="340"/>
      <c r="D17" s="340"/>
      <c r="E17" s="7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219"/>
      <c r="B18" s="220"/>
      <c r="C18" s="343" t="s">
        <v>23</v>
      </c>
      <c r="D18" s="346"/>
      <c r="E18" s="341"/>
      <c r="F18" s="34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19"/>
      <c r="B19" s="220"/>
      <c r="C19" s="340"/>
      <c r="D19" s="340"/>
      <c r="E19" s="7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219"/>
      <c r="B20" s="220"/>
      <c r="C20" s="343" t="s">
        <v>24</v>
      </c>
      <c r="D20" s="346"/>
      <c r="E20" s="341"/>
      <c r="F20" s="34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219"/>
      <c r="B21" s="220"/>
      <c r="C21" s="340"/>
      <c r="D21" s="340"/>
      <c r="E21" s="7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219"/>
      <c r="B22" s="220"/>
      <c r="C22" s="343" t="s">
        <v>25</v>
      </c>
      <c r="D22" s="346"/>
      <c r="E22" s="341"/>
      <c r="F22" s="34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219"/>
      <c r="B23" s="220"/>
      <c r="C23" s="340"/>
      <c r="D23" s="340"/>
      <c r="E23" s="7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219"/>
      <c r="B24" s="220"/>
      <c r="C24" s="343" t="s">
        <v>26</v>
      </c>
      <c r="D24" s="346"/>
      <c r="E24" s="341"/>
      <c r="F24" s="34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219"/>
      <c r="B25" s="220"/>
      <c r="C25" s="340"/>
      <c r="D25" s="340"/>
      <c r="E25" s="7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219"/>
      <c r="B26" s="220"/>
      <c r="C26" s="343" t="s">
        <v>27</v>
      </c>
      <c r="D26" s="346"/>
      <c r="E26" s="341"/>
      <c r="F26" s="34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219"/>
      <c r="B27" s="220"/>
      <c r="C27" s="340"/>
      <c r="D27" s="340"/>
      <c r="E27" s="7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219"/>
      <c r="B28" s="220"/>
      <c r="C28" s="343" t="s">
        <v>28</v>
      </c>
      <c r="D28" s="346"/>
      <c r="E28" s="341"/>
      <c r="F28" s="34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219"/>
      <c r="B29" s="220"/>
      <c r="C29" s="340"/>
      <c r="D29" s="340"/>
      <c r="E29" s="7"/>
      <c r="F29" s="7"/>
      <c r="G29" s="1"/>
      <c r="H29" s="33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219"/>
      <c r="B30" s="220"/>
      <c r="C30" s="343" t="s">
        <v>9</v>
      </c>
      <c r="D30" s="343"/>
      <c r="E30" s="222"/>
      <c r="F30" s="222"/>
      <c r="G30" s="1"/>
      <c r="H30" s="33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219"/>
      <c r="B31" s="220"/>
      <c r="C31" s="5"/>
      <c r="D31" s="5"/>
      <c r="E31" s="5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219"/>
      <c r="B32" s="220"/>
      <c r="C32" s="344" t="s">
        <v>29</v>
      </c>
      <c r="D32" s="350"/>
      <c r="E32" s="350"/>
      <c r="F32" s="35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hidden="1" customHeight="1">
      <c r="A33" s="219"/>
      <c r="B33" s="220"/>
      <c r="C33" s="5"/>
      <c r="D33" s="5"/>
      <c r="E33" s="5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hidden="1" customHeight="1">
      <c r="A34" s="219"/>
      <c r="B34" s="220"/>
      <c r="C34" s="355" t="s">
        <v>30</v>
      </c>
      <c r="D34" s="346"/>
      <c r="E34" s="356"/>
      <c r="F34" s="35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219"/>
      <c r="B35" s="220"/>
      <c r="C35" s="7"/>
      <c r="D35" s="7"/>
      <c r="E35" s="5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219"/>
      <c r="B36" s="220"/>
      <c r="C36" s="357" t="s">
        <v>31</v>
      </c>
      <c r="D36" s="346"/>
      <c r="E36" s="356" t="s">
        <v>32</v>
      </c>
      <c r="F36" s="35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219"/>
      <c r="B37" s="220"/>
      <c r="C37" s="7"/>
      <c r="D37" s="7"/>
      <c r="E37" s="5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219"/>
      <c r="B38" s="220"/>
      <c r="C38" s="355" t="s">
        <v>33</v>
      </c>
      <c r="D38" s="346"/>
      <c r="E38" s="356" t="s">
        <v>34</v>
      </c>
      <c r="F38" s="35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219"/>
      <c r="B39" s="220"/>
      <c r="C39" s="7"/>
      <c r="D39" s="7"/>
      <c r="E39" s="9"/>
      <c r="F39" s="1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219"/>
      <c r="B40" s="220"/>
      <c r="C40" s="358" t="s">
        <v>35</v>
      </c>
      <c r="D40" s="346"/>
      <c r="E40" s="356" t="s">
        <v>36</v>
      </c>
      <c r="F40" s="35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219"/>
      <c r="B41" s="220"/>
      <c r="C41" s="7"/>
      <c r="D41" s="7"/>
      <c r="E41" s="5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219"/>
      <c r="B42" s="220"/>
      <c r="C42" s="5"/>
      <c r="D42" s="5"/>
      <c r="E42" s="5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219"/>
      <c r="B43" s="220"/>
      <c r="C43" s="344" t="s">
        <v>37</v>
      </c>
      <c r="D43" s="350"/>
      <c r="E43" s="350"/>
      <c r="F43" s="3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219"/>
      <c r="B44" s="220"/>
      <c r="C44" s="5"/>
      <c r="D44" s="5"/>
      <c r="E44" s="5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219"/>
      <c r="B45" s="220"/>
      <c r="C45" s="1"/>
      <c r="D45" s="11" t="s">
        <v>38</v>
      </c>
      <c r="E45" s="12" t="s">
        <v>39</v>
      </c>
      <c r="F45" s="12" t="s">
        <v>40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219"/>
      <c r="B46" s="220"/>
      <c r="C46" s="13"/>
      <c r="D46" s="13"/>
      <c r="E46" s="14"/>
      <c r="F46" s="1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219"/>
      <c r="B47" s="220"/>
      <c r="C47" s="16" t="s">
        <v>41</v>
      </c>
      <c r="D47" s="17"/>
      <c r="E47" s="18"/>
      <c r="F47" s="1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hidden="1" customHeight="1">
      <c r="A48" s="219"/>
      <c r="B48" s="220"/>
      <c r="C48" s="20"/>
      <c r="D48" s="6"/>
      <c r="E48" s="6"/>
      <c r="F48" s="22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hidden="1" customHeight="1">
      <c r="A49" s="219"/>
      <c r="B49" s="220"/>
      <c r="C49" s="20"/>
      <c r="D49" s="6"/>
      <c r="E49" s="6"/>
      <c r="F49" s="22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hidden="1" customHeight="1">
      <c r="A50" s="219"/>
      <c r="B50" s="220"/>
      <c r="C50" s="20"/>
      <c r="D50" s="6"/>
      <c r="E50" s="6"/>
      <c r="F50" s="22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hidden="1" customHeight="1">
      <c r="A51" s="219"/>
      <c r="B51" s="220"/>
      <c r="C51" s="20"/>
      <c r="D51" s="6"/>
      <c r="E51" s="6"/>
      <c r="F51" s="22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hidden="1" customHeight="1">
      <c r="A52" s="219"/>
      <c r="B52" s="220"/>
      <c r="C52" s="20"/>
      <c r="D52" s="6"/>
      <c r="E52" s="6"/>
      <c r="F52" s="22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hidden="1" customHeight="1">
      <c r="A53" s="219"/>
      <c r="B53" s="220"/>
      <c r="C53" s="20"/>
      <c r="D53" s="6"/>
      <c r="E53" s="6"/>
      <c r="F53" s="22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219"/>
      <c r="B54" s="220"/>
      <c r="C54" s="20"/>
      <c r="D54" s="6"/>
      <c r="E54" s="6"/>
      <c r="F54" s="22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219"/>
      <c r="B55" s="220"/>
      <c r="C55" s="16" t="s">
        <v>42</v>
      </c>
      <c r="D55" s="17"/>
      <c r="E55" s="18"/>
      <c r="F55" s="1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219"/>
      <c r="B56" s="220"/>
      <c r="C56" s="20"/>
      <c r="D56" s="6"/>
      <c r="E56" s="6"/>
      <c r="F56" s="1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219"/>
      <c r="B57" s="220"/>
      <c r="C57" s="16" t="s">
        <v>43</v>
      </c>
      <c r="D57" s="17"/>
      <c r="E57" s="18"/>
      <c r="F57" s="1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219"/>
      <c r="B58" s="220"/>
      <c r="C58" s="20"/>
      <c r="D58" s="6"/>
      <c r="E58" s="6"/>
      <c r="F58" s="22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219"/>
      <c r="B59" s="220"/>
      <c r="C59" s="16" t="s">
        <v>43</v>
      </c>
      <c r="D59" s="17"/>
      <c r="E59" s="18"/>
      <c r="F59" s="1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219"/>
      <c r="B60" s="220"/>
      <c r="C60" s="5"/>
      <c r="D60" s="5"/>
      <c r="E60" s="6"/>
      <c r="F60" s="22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hidden="1" customHeight="1">
      <c r="A61" s="219"/>
      <c r="B61" s="220"/>
      <c r="C61" s="16"/>
      <c r="D61" s="17"/>
      <c r="E61" s="18"/>
      <c r="F61" s="1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hidden="1" customHeight="1">
      <c r="A62" s="219"/>
      <c r="B62" s="220"/>
      <c r="C62" s="5"/>
      <c r="D62" s="5"/>
      <c r="E62" s="6"/>
      <c r="F62" s="22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hidden="1" customHeight="1">
      <c r="A63" s="219"/>
      <c r="B63" s="220"/>
      <c r="C63" s="16"/>
      <c r="D63" s="17"/>
      <c r="E63" s="18"/>
      <c r="F63" s="1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hidden="1" customHeight="1">
      <c r="A64" s="219"/>
      <c r="B64" s="220"/>
      <c r="C64" s="5"/>
      <c r="D64" s="5"/>
      <c r="E64" s="6"/>
      <c r="F64" s="22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219"/>
      <c r="B65" s="220"/>
      <c r="C65" s="16" t="s">
        <v>44</v>
      </c>
      <c r="D65" s="17"/>
      <c r="E65" s="18"/>
      <c r="F65" s="19">
        <f>F47+F55+F57+F59</f>
        <v>0</v>
      </c>
      <c r="G65" s="21" t="str">
        <f>IF(F65&lt;&gt;1,"Le total doit être égal à 100%. Vérifiez les données!","")</f>
        <v>Le total doit être égal à 100%. Vérifiez les données!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219"/>
      <c r="B66" s="22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219"/>
      <c r="B67" s="220"/>
      <c r="C67" s="344" t="s">
        <v>45</v>
      </c>
      <c r="D67" s="350"/>
      <c r="E67" s="350"/>
      <c r="F67" s="3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219"/>
      <c r="B68" s="22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219"/>
      <c r="B69" s="220"/>
      <c r="C69" s="1"/>
      <c r="D69" s="11" t="s">
        <v>38</v>
      </c>
      <c r="E69" s="12" t="s">
        <v>39</v>
      </c>
      <c r="F69" s="12" t="s">
        <v>46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219"/>
      <c r="B70" s="220"/>
      <c r="C70" s="13"/>
      <c r="D70" s="13"/>
      <c r="E70" s="14"/>
      <c r="F70" s="1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219"/>
      <c r="B71" s="220"/>
      <c r="C71" s="16" t="s">
        <v>41</v>
      </c>
      <c r="D71" s="17"/>
      <c r="E71" s="18"/>
      <c r="F71" s="2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219"/>
      <c r="B72" s="220"/>
      <c r="C72" s="20"/>
      <c r="D72" s="10"/>
      <c r="E72" s="10"/>
      <c r="F72" s="22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219"/>
      <c r="B73" s="220"/>
      <c r="C73" s="16" t="s">
        <v>42</v>
      </c>
      <c r="D73" s="17"/>
      <c r="E73" s="22"/>
      <c r="F73" s="2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219"/>
      <c r="B74" s="220"/>
      <c r="C74" s="20"/>
      <c r="D74" s="10"/>
      <c r="E74" s="10"/>
      <c r="F74" s="22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219"/>
      <c r="B75" s="220"/>
      <c r="C75" s="16" t="s">
        <v>43</v>
      </c>
      <c r="D75" s="17"/>
      <c r="E75" s="22"/>
      <c r="F75" s="2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hidden="1" customHeight="1">
      <c r="A76" s="219"/>
      <c r="B76" s="220"/>
      <c r="C76" s="20"/>
      <c r="D76" s="10"/>
      <c r="E76" s="10"/>
      <c r="F76" s="22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hidden="1" customHeight="1">
      <c r="A77" s="219"/>
      <c r="B77" s="220"/>
      <c r="C77" s="16" t="s">
        <v>47</v>
      </c>
      <c r="D77" s="17"/>
      <c r="E77" s="22"/>
      <c r="F77" s="2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hidden="1" customHeight="1">
      <c r="A78" s="219"/>
      <c r="B78" s="220"/>
      <c r="C78" s="20"/>
      <c r="D78" s="10"/>
      <c r="E78" s="10"/>
      <c r="F78" s="22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hidden="1" customHeight="1">
      <c r="A79" s="219"/>
      <c r="B79" s="220"/>
      <c r="C79" s="16" t="s">
        <v>48</v>
      </c>
      <c r="D79" s="17"/>
      <c r="E79" s="22"/>
      <c r="F79" s="2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hidden="1" customHeight="1">
      <c r="A80" s="219"/>
      <c r="B80" s="220"/>
      <c r="C80" s="20"/>
      <c r="D80" s="10"/>
      <c r="E80" s="10"/>
      <c r="F80" s="22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hidden="1" customHeight="1">
      <c r="A81" s="219"/>
      <c r="B81" s="220"/>
      <c r="C81" s="16" t="s">
        <v>49</v>
      </c>
      <c r="D81" s="17"/>
      <c r="E81" s="22"/>
      <c r="F81" s="2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hidden="1" customHeight="1">
      <c r="A82" s="225"/>
      <c r="B82" s="226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hidden="1" customHeight="1">
      <c r="A83" s="219"/>
      <c r="B83" s="220"/>
      <c r="C83" s="16" t="s">
        <v>50</v>
      </c>
      <c r="D83" s="17"/>
      <c r="E83" s="22"/>
      <c r="F83" s="2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225"/>
      <c r="B84" s="226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" customHeight="1">
      <c r="A85" s="219"/>
      <c r="B85" s="220"/>
      <c r="C85" s="1"/>
      <c r="D85" s="359"/>
      <c r="E85" s="360"/>
      <c r="F85" s="36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219"/>
      <c r="B86" s="220"/>
      <c r="C86" s="1"/>
      <c r="D86" s="352"/>
      <c r="E86" s="346"/>
      <c r="F86" s="34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219"/>
      <c r="B87" s="220"/>
      <c r="C87" s="1"/>
      <c r="D87" s="352"/>
      <c r="E87" s="346"/>
      <c r="F87" s="34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219"/>
      <c r="B88" s="220"/>
      <c r="C88" s="1"/>
      <c r="D88" s="352"/>
      <c r="E88" s="346"/>
      <c r="F88" s="34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225"/>
      <c r="B89" s="226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21" customHeight="1">
      <c r="A90" s="219"/>
      <c r="B90" s="220"/>
      <c r="C90" s="344" t="s">
        <v>51</v>
      </c>
      <c r="D90" s="350"/>
      <c r="E90" s="350"/>
      <c r="F90" s="3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219"/>
      <c r="B91" s="22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219"/>
      <c r="B92" s="220"/>
      <c r="C92" s="1"/>
      <c r="D92" s="359"/>
      <c r="E92" s="360"/>
      <c r="F92" s="36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219"/>
      <c r="B93" s="220"/>
      <c r="C93" s="1"/>
      <c r="D93" s="352"/>
      <c r="E93" s="346"/>
      <c r="F93" s="346"/>
      <c r="G93" s="1"/>
      <c r="H93" s="1" t="s">
        <v>52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219"/>
      <c r="B94" s="220"/>
      <c r="C94" s="1"/>
      <c r="D94" s="352"/>
      <c r="E94" s="346"/>
      <c r="F94" s="34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219"/>
      <c r="B95" s="220"/>
      <c r="C95" s="1"/>
      <c r="D95" s="352"/>
      <c r="E95" s="346"/>
      <c r="F95" s="34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219"/>
      <c r="B96" s="220"/>
      <c r="C96" s="1"/>
      <c r="D96" s="352"/>
      <c r="E96" s="346"/>
      <c r="F96" s="34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 customHeight="1">
      <c r="A97" s="219"/>
      <c r="B97" s="220"/>
      <c r="C97" s="1"/>
      <c r="D97" s="352"/>
      <c r="E97" s="346"/>
      <c r="F97" s="34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219"/>
      <c r="B98" s="220"/>
      <c r="C98" s="1"/>
      <c r="D98" s="352"/>
      <c r="E98" s="346"/>
      <c r="F98" s="34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>
      <c r="A99" s="219"/>
      <c r="B99" s="220"/>
      <c r="C99" s="1"/>
      <c r="D99" s="352"/>
      <c r="E99" s="346"/>
      <c r="F99" s="34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219"/>
      <c r="B100" s="220"/>
      <c r="C100" s="1"/>
      <c r="D100" s="352"/>
      <c r="E100" s="346"/>
      <c r="F100" s="34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 customHeight="1">
      <c r="A101" s="219"/>
      <c r="B101" s="220"/>
      <c r="C101" s="1"/>
      <c r="D101" s="352"/>
      <c r="E101" s="346"/>
      <c r="F101" s="34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219"/>
      <c r="B102" s="22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>
      <c r="A103" s="219"/>
      <c r="B103" s="220"/>
      <c r="C103" s="344" t="s">
        <v>53</v>
      </c>
      <c r="D103" s="350"/>
      <c r="E103" s="350"/>
      <c r="F103" s="3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219"/>
      <c r="B104" s="22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219"/>
      <c r="B105" s="220"/>
      <c r="C105" s="1"/>
      <c r="D105" s="11" t="s">
        <v>54</v>
      </c>
      <c r="E105" s="12" t="s">
        <v>55</v>
      </c>
      <c r="F105" s="12" t="s">
        <v>56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219"/>
      <c r="B106" s="220"/>
      <c r="C106" s="13"/>
      <c r="D106" s="13"/>
      <c r="E106" s="14"/>
      <c r="F106" s="1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219"/>
      <c r="B107" s="220"/>
      <c r="C107" s="16" t="s">
        <v>41</v>
      </c>
      <c r="D107" s="17" t="s">
        <v>57</v>
      </c>
      <c r="E107" s="22" t="s">
        <v>58</v>
      </c>
      <c r="F107" s="2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219"/>
      <c r="B108" s="220"/>
      <c r="C108" s="20"/>
      <c r="D108" s="10"/>
      <c r="E108" s="10"/>
      <c r="F108" s="22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219"/>
      <c r="B109" s="220"/>
      <c r="C109" s="16" t="s">
        <v>42</v>
      </c>
      <c r="D109" s="17"/>
      <c r="E109" s="22"/>
      <c r="F109" s="2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hidden="1" customHeight="1">
      <c r="A110" s="219"/>
      <c r="B110" s="220"/>
      <c r="C110" s="20"/>
      <c r="D110" s="10"/>
      <c r="E110" s="10"/>
      <c r="F110" s="22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hidden="1" customHeight="1">
      <c r="A111" s="219"/>
      <c r="B111" s="220"/>
      <c r="C111" s="16" t="s">
        <v>43</v>
      </c>
      <c r="D111" s="17"/>
      <c r="E111" s="22"/>
      <c r="F111" s="2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hidden="1" customHeight="1">
      <c r="A112" s="219"/>
      <c r="B112" s="220"/>
      <c r="C112" s="20"/>
      <c r="D112" s="10"/>
      <c r="E112" s="10"/>
      <c r="F112" s="22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hidden="1" customHeight="1">
      <c r="A113" s="219"/>
      <c r="B113" s="220"/>
      <c r="C113" s="16" t="s">
        <v>47</v>
      </c>
      <c r="D113" s="17"/>
      <c r="E113" s="22"/>
      <c r="F113" s="2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219"/>
      <c r="B114" s="22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>
      <c r="A115" s="219"/>
      <c r="B115" s="220"/>
      <c r="C115" s="344" t="s">
        <v>59</v>
      </c>
      <c r="D115" s="350"/>
      <c r="E115" s="350"/>
      <c r="F115" s="3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219"/>
      <c r="B116" s="22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219"/>
      <c r="B117" s="220"/>
      <c r="C117" s="1"/>
      <c r="D117" s="11" t="s">
        <v>60</v>
      </c>
      <c r="E117" s="12" t="s">
        <v>61</v>
      </c>
      <c r="F117" s="12" t="s">
        <v>62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219"/>
      <c r="B118" s="220"/>
      <c r="C118" s="13"/>
      <c r="D118" s="13"/>
      <c r="E118" s="14"/>
      <c r="F118" s="1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219"/>
      <c r="B119" s="220"/>
      <c r="C119" s="16"/>
      <c r="D119" s="25" t="s">
        <v>63</v>
      </c>
      <c r="E119" s="22"/>
      <c r="F119" s="2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219"/>
      <c r="B120" s="220"/>
      <c r="C120" s="16"/>
      <c r="D120" s="25"/>
      <c r="E120" s="27"/>
      <c r="F120" s="2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219"/>
      <c r="B121" s="220"/>
      <c r="C121" s="20"/>
      <c r="D121" s="10"/>
      <c r="E121" s="10"/>
      <c r="F121" s="22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219"/>
      <c r="B122" s="220"/>
      <c r="C122" s="1" t="s">
        <v>64</v>
      </c>
      <c r="D122" s="16"/>
      <c r="E122" s="16"/>
      <c r="F122" s="16"/>
      <c r="G122" s="1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219"/>
      <c r="B123" s="220"/>
      <c r="C123" s="20"/>
      <c r="D123" s="363" t="s">
        <v>65</v>
      </c>
      <c r="E123" s="360"/>
      <c r="F123" s="364"/>
      <c r="G123" s="2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219"/>
      <c r="B124" s="220"/>
      <c r="C124" s="16"/>
      <c r="D124" s="365"/>
      <c r="E124" s="346"/>
      <c r="F124" s="366"/>
      <c r="G124" s="1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219"/>
      <c r="B125" s="220"/>
      <c r="C125" s="20"/>
      <c r="D125" s="365"/>
      <c r="E125" s="346"/>
      <c r="F125" s="36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219"/>
      <c r="B126" s="220"/>
      <c r="C126" s="1"/>
      <c r="D126" s="365"/>
      <c r="E126" s="346"/>
      <c r="F126" s="36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219"/>
      <c r="B127" s="220"/>
      <c r="C127" s="1"/>
      <c r="D127" s="367"/>
      <c r="E127" s="368"/>
      <c r="F127" s="36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219"/>
      <c r="B128" s="22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219"/>
      <c r="B129" s="220"/>
      <c r="C129" s="344" t="s">
        <v>66</v>
      </c>
      <c r="D129" s="350"/>
      <c r="E129" s="350"/>
      <c r="F129" s="3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219"/>
      <c r="B130" s="22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219"/>
      <c r="B131" s="220"/>
      <c r="C131" s="1"/>
      <c r="D131" s="11" t="s">
        <v>67</v>
      </c>
      <c r="E131" s="11" t="s">
        <v>68</v>
      </c>
      <c r="F131" s="11" t="s">
        <v>69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219"/>
      <c r="B132" s="220"/>
      <c r="C132" s="13"/>
      <c r="D132" s="13"/>
      <c r="E132" s="14"/>
      <c r="F132" s="1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219"/>
      <c r="B133" s="220"/>
      <c r="C133" s="16" t="s">
        <v>41</v>
      </c>
      <c r="D133" s="17"/>
      <c r="E133" s="22"/>
      <c r="F133" s="2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219"/>
      <c r="B134" s="220"/>
      <c r="C134" s="20"/>
      <c r="D134" s="10"/>
      <c r="E134" s="10"/>
      <c r="F134" s="22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219"/>
      <c r="B135" s="220"/>
      <c r="C135" s="16" t="s">
        <v>42</v>
      </c>
      <c r="D135" s="17"/>
      <c r="E135" s="22"/>
      <c r="F135" s="2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219"/>
      <c r="B136" s="220"/>
      <c r="C136" s="20"/>
      <c r="D136" s="10"/>
      <c r="E136" s="10"/>
      <c r="F136" s="22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219"/>
      <c r="B137" s="220"/>
      <c r="C137" s="16" t="s">
        <v>43</v>
      </c>
      <c r="D137" s="17"/>
      <c r="E137" s="22"/>
      <c r="F137" s="2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219"/>
      <c r="B138" s="220"/>
      <c r="C138" s="20"/>
      <c r="D138" s="10"/>
      <c r="E138" s="10"/>
      <c r="F138" s="22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219"/>
      <c r="B139" s="220"/>
      <c r="C139" s="16" t="s">
        <v>48</v>
      </c>
      <c r="D139" s="337"/>
      <c r="E139" s="338"/>
      <c r="F139" s="33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219"/>
      <c r="B140" s="220"/>
      <c r="C140" s="20"/>
      <c r="D140" s="10"/>
      <c r="E140" s="10"/>
      <c r="F140" s="22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219"/>
      <c r="B141" s="220"/>
      <c r="C141" s="16" t="s">
        <v>48</v>
      </c>
      <c r="D141" s="337"/>
      <c r="E141" s="338"/>
      <c r="F141" s="33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219"/>
      <c r="B142" s="220"/>
      <c r="C142" s="20"/>
      <c r="D142" s="10"/>
      <c r="E142" s="10"/>
      <c r="F142" s="22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219"/>
      <c r="B143" s="220"/>
      <c r="C143" s="344" t="s">
        <v>70</v>
      </c>
      <c r="D143" s="350"/>
      <c r="E143" s="350"/>
      <c r="F143" s="3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219"/>
      <c r="B144" s="220"/>
      <c r="C144" s="20"/>
      <c r="D144" s="10"/>
      <c r="E144" s="10"/>
      <c r="F144" s="1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219"/>
      <c r="B145" s="220"/>
      <c r="C145" s="16" t="s">
        <v>41</v>
      </c>
      <c r="D145" s="17"/>
      <c r="E145" s="361"/>
      <c r="F145" s="36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219"/>
      <c r="B146" s="220"/>
      <c r="C146" s="20"/>
      <c r="D146" s="10"/>
      <c r="E146" s="10"/>
      <c r="F146" s="1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219"/>
      <c r="B147" s="220"/>
      <c r="C147" s="16" t="s">
        <v>42</v>
      </c>
      <c r="D147" s="17"/>
      <c r="E147" s="361"/>
      <c r="F147" s="36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219"/>
      <c r="B148" s="220"/>
      <c r="C148" s="20"/>
      <c r="D148" s="10"/>
      <c r="E148" s="29"/>
      <c r="F148" s="2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219"/>
      <c r="B149" s="220"/>
      <c r="C149" s="16" t="s">
        <v>43</v>
      </c>
      <c r="D149" s="17"/>
      <c r="E149" s="361"/>
      <c r="F149" s="36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219"/>
      <c r="B150" s="220"/>
      <c r="C150" s="20"/>
      <c r="D150" s="10"/>
      <c r="E150" s="29"/>
      <c r="F150" s="2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219"/>
      <c r="B151" s="220"/>
      <c r="C151" s="16" t="s">
        <v>47</v>
      </c>
      <c r="D151" s="17"/>
      <c r="E151" s="361"/>
      <c r="F151" s="36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227"/>
      <c r="B152" s="22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227"/>
      <c r="B153" s="228"/>
      <c r="C153" s="344" t="s">
        <v>71</v>
      </c>
      <c r="D153" s="350"/>
      <c r="E153" s="350"/>
      <c r="F153" s="3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227"/>
      <c r="B154" s="22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227"/>
      <c r="B155" s="228"/>
      <c r="C155" s="1"/>
      <c r="D155" s="11" t="s">
        <v>72</v>
      </c>
      <c r="E155" s="11" t="s">
        <v>73</v>
      </c>
      <c r="F155" s="11" t="s">
        <v>74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227"/>
      <c r="B156" s="228"/>
      <c r="C156" s="13"/>
      <c r="D156" s="13"/>
      <c r="E156" s="14"/>
      <c r="F156" s="1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227"/>
      <c r="B157" s="228"/>
      <c r="C157" s="16" t="s">
        <v>41</v>
      </c>
      <c r="D157" s="17"/>
      <c r="E157" s="30"/>
      <c r="F157" s="2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227"/>
      <c r="B158" s="228"/>
      <c r="C158" s="20"/>
      <c r="D158" s="10"/>
      <c r="E158" s="31"/>
      <c r="F158" s="22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227"/>
      <c r="B159" s="228"/>
      <c r="C159" s="16" t="s">
        <v>42</v>
      </c>
      <c r="D159" s="17"/>
      <c r="E159" s="30"/>
      <c r="F159" s="2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227"/>
      <c r="B160" s="228"/>
      <c r="C160" s="20"/>
      <c r="D160" s="10"/>
      <c r="E160" s="31"/>
      <c r="F160" s="22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227"/>
      <c r="B161" s="228"/>
      <c r="C161" s="16" t="s">
        <v>43</v>
      </c>
      <c r="D161" s="17"/>
      <c r="E161" s="30"/>
      <c r="F161" s="2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227"/>
      <c r="B162" s="228"/>
      <c r="C162" s="20"/>
      <c r="D162" s="10"/>
      <c r="E162" s="31"/>
      <c r="F162" s="22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227"/>
      <c r="B163" s="228"/>
      <c r="C163" s="16" t="s">
        <v>47</v>
      </c>
      <c r="D163" s="17"/>
      <c r="E163" s="30"/>
      <c r="F163" s="2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227"/>
      <c r="B164" s="22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227"/>
      <c r="B165" s="228"/>
      <c r="C165" s="1" t="s">
        <v>64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227"/>
      <c r="B166" s="228"/>
      <c r="C166" s="1"/>
      <c r="D166" s="363"/>
      <c r="E166" s="360"/>
      <c r="F166" s="364"/>
      <c r="G166" s="32"/>
      <c r="H166" s="3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227"/>
      <c r="B167" s="228"/>
      <c r="C167" s="1"/>
      <c r="D167" s="365"/>
      <c r="E167" s="346"/>
      <c r="F167" s="366"/>
      <c r="G167" s="32"/>
      <c r="H167" s="3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227"/>
      <c r="B168" s="228"/>
      <c r="C168" s="1"/>
      <c r="D168" s="365"/>
      <c r="E168" s="346"/>
      <c r="F168" s="366"/>
      <c r="G168" s="32"/>
      <c r="H168" s="3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227"/>
      <c r="B169" s="228"/>
      <c r="C169" s="1"/>
      <c r="D169" s="367"/>
      <c r="E169" s="368"/>
      <c r="F169" s="369"/>
      <c r="G169" s="32"/>
      <c r="H169" s="3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227"/>
      <c r="B170" s="228"/>
      <c r="C170" s="1"/>
      <c r="D170" s="1"/>
      <c r="E170" s="1"/>
      <c r="F170" s="1"/>
      <c r="G170" s="1"/>
      <c r="H170" s="3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227"/>
      <c r="B171" s="228"/>
      <c r="C171" s="344" t="s">
        <v>75</v>
      </c>
      <c r="D171" s="350"/>
      <c r="E171" s="350"/>
      <c r="F171" s="3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227"/>
      <c r="B172" s="22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227"/>
      <c r="B173" s="228"/>
      <c r="C173" s="1"/>
      <c r="D173" s="11" t="s">
        <v>76</v>
      </c>
      <c r="E173" s="11" t="s">
        <v>77</v>
      </c>
      <c r="F173" s="11" t="s">
        <v>78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227"/>
      <c r="B174" s="228"/>
      <c r="C174" s="13"/>
      <c r="D174" s="13"/>
      <c r="E174" s="14"/>
      <c r="F174" s="1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227"/>
      <c r="B175" s="228"/>
      <c r="C175" s="16" t="s">
        <v>41</v>
      </c>
      <c r="D175" s="37"/>
      <c r="E175" s="30"/>
      <c r="F175" s="28"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227"/>
      <c r="B176" s="228"/>
      <c r="C176" s="20"/>
      <c r="D176" s="10"/>
      <c r="E176" s="31"/>
      <c r="F176" s="22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227"/>
      <c r="B177" s="228"/>
      <c r="C177" s="16" t="s">
        <v>42</v>
      </c>
      <c r="D177" s="17"/>
      <c r="E177" s="30"/>
      <c r="F177" s="2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227"/>
      <c r="B178" s="228"/>
      <c r="C178" s="20"/>
      <c r="D178" s="10"/>
      <c r="E178" s="31"/>
      <c r="F178" s="22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hidden="1" customHeight="1">
      <c r="A179" s="227"/>
      <c r="B179" s="228"/>
      <c r="C179" s="16" t="s">
        <v>43</v>
      </c>
      <c r="D179" s="17"/>
      <c r="E179" s="30"/>
      <c r="F179" s="2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hidden="1" customHeight="1">
      <c r="A180" s="227"/>
      <c r="B180" s="228"/>
      <c r="C180" s="20"/>
      <c r="D180" s="10"/>
      <c r="E180" s="31"/>
      <c r="F180" s="22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hidden="1" customHeight="1">
      <c r="A181" s="227"/>
      <c r="B181" s="228"/>
      <c r="C181" s="16" t="s">
        <v>47</v>
      </c>
      <c r="D181" s="17"/>
      <c r="E181" s="30"/>
      <c r="F181" s="2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227"/>
      <c r="B182" s="22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227"/>
      <c r="B183" s="228"/>
      <c r="C183" s="1" t="s">
        <v>64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227"/>
      <c r="B184" s="228"/>
      <c r="C184" s="1"/>
      <c r="D184" s="370"/>
      <c r="E184" s="360"/>
      <c r="F184" s="36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227"/>
      <c r="B185" s="228"/>
      <c r="C185" s="1"/>
      <c r="D185" s="365"/>
      <c r="E185" s="346"/>
      <c r="F185" s="36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227"/>
      <c r="B186" s="228"/>
      <c r="C186" s="1"/>
      <c r="D186" s="365"/>
      <c r="E186" s="346"/>
      <c r="F186" s="36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227"/>
      <c r="B187" s="228"/>
      <c r="C187" s="1"/>
      <c r="D187" s="365"/>
      <c r="E187" s="346"/>
      <c r="F187" s="36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227"/>
      <c r="B188" s="228"/>
      <c r="C188" s="1"/>
      <c r="D188" s="365"/>
      <c r="E188" s="346"/>
      <c r="F188" s="36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227"/>
      <c r="B189" s="228"/>
      <c r="C189" s="1"/>
      <c r="D189" s="365"/>
      <c r="E189" s="346"/>
      <c r="F189" s="36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227"/>
      <c r="B190" s="228"/>
      <c r="C190" s="1"/>
      <c r="D190" s="367"/>
      <c r="E190" s="368"/>
      <c r="F190" s="36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1">
    <mergeCell ref="D166:F169"/>
    <mergeCell ref="C171:F171"/>
    <mergeCell ref="D184:F190"/>
    <mergeCell ref="C103:F103"/>
    <mergeCell ref="C115:F115"/>
    <mergeCell ref="D123:F127"/>
    <mergeCell ref="C129:F129"/>
    <mergeCell ref="C143:F143"/>
    <mergeCell ref="E145:F145"/>
    <mergeCell ref="E147:F147"/>
    <mergeCell ref="C90:F90"/>
    <mergeCell ref="D92:F101"/>
    <mergeCell ref="E149:F149"/>
    <mergeCell ref="E151:F151"/>
    <mergeCell ref="C153:F153"/>
    <mergeCell ref="C40:D40"/>
    <mergeCell ref="E40:F40"/>
    <mergeCell ref="C43:F43"/>
    <mergeCell ref="C67:F67"/>
    <mergeCell ref="D85:F88"/>
    <mergeCell ref="C34:D34"/>
    <mergeCell ref="E34:F34"/>
    <mergeCell ref="C36:D36"/>
    <mergeCell ref="E36:F36"/>
    <mergeCell ref="C38:D38"/>
    <mergeCell ref="E38:F38"/>
    <mergeCell ref="C24:D24"/>
    <mergeCell ref="C26:D26"/>
    <mergeCell ref="C28:D28"/>
    <mergeCell ref="C30:D30"/>
    <mergeCell ref="C32:F32"/>
    <mergeCell ref="C16:D16"/>
    <mergeCell ref="E16:F16"/>
    <mergeCell ref="C18:D18"/>
    <mergeCell ref="C20:D20"/>
    <mergeCell ref="C22:D22"/>
    <mergeCell ref="C2:E2"/>
    <mergeCell ref="C7:F7"/>
    <mergeCell ref="C10:F10"/>
    <mergeCell ref="C12:D12"/>
    <mergeCell ref="C14:D14"/>
  </mergeCells>
  <dataValidations count="1">
    <dataValidation type="list" allowBlank="1" showInputMessage="1" showErrorMessage="1" prompt=" - " sqref="E16" xr:uid="{00000000-0002-0000-0000-000000000000}">
      <formula1>"GIE,SA,SAU,SAS,EI,SURL,SARL,SCI,Autre"</formula1>
    </dataValidation>
  </dataValidations>
  <pageMargins left="0.7" right="0.7" top="0.75" bottom="0.75" header="0" footer="0"/>
  <pageSetup paperSize="9" scale="96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Y1000"/>
  <sheetViews>
    <sheetView showGridLines="0" topLeftCell="A4" workbookViewId="0">
      <selection activeCell="G20" sqref="G20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12.28515625" customWidth="1"/>
    <col min="4" max="4" width="41.140625" customWidth="1"/>
    <col min="5" max="5" width="8.42578125" customWidth="1"/>
    <col min="6" max="25" width="12.28515625" customWidth="1"/>
    <col min="26" max="26" width="14.5703125" customWidth="1"/>
  </cols>
  <sheetData>
    <row r="1" spans="1:25" ht="13.5" customHeight="1">
      <c r="A1" s="219"/>
      <c r="B1" s="220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29.25" customHeight="1">
      <c r="A2" s="219"/>
      <c r="B2" s="220"/>
      <c r="C2" s="371" t="s">
        <v>79</v>
      </c>
      <c r="D2" s="346"/>
      <c r="E2" s="346"/>
      <c r="F2" s="346"/>
      <c r="G2" s="346"/>
      <c r="H2" s="346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ht="13.5" customHeight="1">
      <c r="A3" s="219"/>
      <c r="B3" s="220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3.5" customHeight="1">
      <c r="A4" s="219"/>
      <c r="B4" s="220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5" ht="13.5" customHeight="1">
      <c r="A5" s="219"/>
      <c r="B5" s="220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spans="1:25" ht="13.5" customHeight="1">
      <c r="A6" s="219"/>
      <c r="B6" s="220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spans="1:25" ht="13.5" customHeight="1">
      <c r="A7" s="219"/>
      <c r="B7" s="220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spans="1:25" ht="13.5" customHeight="1">
      <c r="A8" s="219"/>
      <c r="B8" s="220"/>
      <c r="C8" s="34" t="s">
        <v>80</v>
      </c>
      <c r="D8" s="35"/>
      <c r="E8" s="36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spans="1:25" ht="13.5" customHeight="1">
      <c r="A9" s="219"/>
      <c r="B9" s="220"/>
      <c r="C9" s="5"/>
      <c r="D9" s="5"/>
      <c r="E9" s="5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spans="1:25" ht="13.5" customHeight="1">
      <c r="A10" s="219"/>
      <c r="B10" s="220"/>
      <c r="C10" s="5"/>
      <c r="D10" s="5"/>
      <c r="E10" s="5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spans="1:25" ht="16.5" customHeight="1">
      <c r="A11" s="219"/>
      <c r="B11" s="220"/>
      <c r="C11" s="16">
        <v>1</v>
      </c>
      <c r="D11" s="37" t="s">
        <v>81</v>
      </c>
      <c r="E11" s="18" t="s">
        <v>82</v>
      </c>
      <c r="F11" s="1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spans="1:25" ht="16.5" customHeight="1">
      <c r="A12" s="219"/>
      <c r="B12" s="220"/>
      <c r="C12" s="16">
        <v>2</v>
      </c>
      <c r="D12" s="37" t="s">
        <v>83</v>
      </c>
      <c r="E12" s="18" t="s">
        <v>82</v>
      </c>
      <c r="F12" s="1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spans="1:25" ht="16.5" customHeight="1">
      <c r="A13" s="219"/>
      <c r="B13" s="220"/>
      <c r="C13" s="16">
        <v>3</v>
      </c>
      <c r="D13" s="37" t="s">
        <v>84</v>
      </c>
      <c r="E13" s="18" t="s">
        <v>82</v>
      </c>
      <c r="F13" s="1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spans="1:25" ht="16.5" customHeight="1">
      <c r="A14" s="219"/>
      <c r="B14" s="220"/>
      <c r="C14" s="20">
        <v>4</v>
      </c>
      <c r="D14" s="37" t="s">
        <v>85</v>
      </c>
      <c r="E14" s="18" t="s">
        <v>82</v>
      </c>
      <c r="F14" s="1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spans="1:25" ht="16.5" customHeight="1">
      <c r="A15" s="219"/>
      <c r="B15" s="220"/>
      <c r="C15" s="16">
        <v>5</v>
      </c>
      <c r="D15" s="37" t="s">
        <v>86</v>
      </c>
      <c r="E15" s="18" t="s">
        <v>82</v>
      </c>
      <c r="F15" s="1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ht="16.5" customHeight="1">
      <c r="A16" s="219"/>
      <c r="B16" s="220"/>
      <c r="C16" s="16">
        <v>6</v>
      </c>
      <c r="D16" s="37" t="s">
        <v>87</v>
      </c>
      <c r="E16" s="18" t="s">
        <v>82</v>
      </c>
      <c r="F16" s="1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ht="16.5" customHeight="1">
      <c r="A17" s="219"/>
      <c r="B17" s="220"/>
      <c r="C17" s="16">
        <v>7</v>
      </c>
      <c r="D17" s="37" t="s">
        <v>88</v>
      </c>
      <c r="E17" s="18" t="s">
        <v>82</v>
      </c>
      <c r="F17" s="1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ht="16.5" customHeight="1">
      <c r="A18" s="219"/>
      <c r="B18" s="220"/>
      <c r="C18" s="16">
        <v>8</v>
      </c>
      <c r="D18" s="37" t="s">
        <v>89</v>
      </c>
      <c r="E18" s="18" t="s">
        <v>82</v>
      </c>
      <c r="F18" s="1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ht="16.5" customHeight="1">
      <c r="A19" s="219"/>
      <c r="B19" s="220"/>
      <c r="C19" s="20">
        <v>9</v>
      </c>
      <c r="D19" s="37" t="s">
        <v>90</v>
      </c>
      <c r="E19" s="18" t="s">
        <v>82</v>
      </c>
      <c r="F19" s="1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ht="16.5" customHeight="1">
      <c r="A20" s="219"/>
      <c r="B20" s="220"/>
      <c r="C20" s="16">
        <v>10</v>
      </c>
      <c r="D20" s="37" t="s">
        <v>91</v>
      </c>
      <c r="E20" s="18" t="s">
        <v>82</v>
      </c>
      <c r="F20" s="1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ht="16.5" customHeight="1">
      <c r="A21" s="219"/>
      <c r="B21" s="220"/>
      <c r="C21" s="16">
        <v>11</v>
      </c>
      <c r="D21" s="37" t="s">
        <v>92</v>
      </c>
      <c r="E21" s="18" t="s">
        <v>82</v>
      </c>
      <c r="F21" s="1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ht="16.5" customHeight="1">
      <c r="A22" s="219"/>
      <c r="B22" s="220"/>
      <c r="C22" s="16">
        <v>12</v>
      </c>
      <c r="D22" s="37" t="s">
        <v>93</v>
      </c>
      <c r="E22" s="18" t="s">
        <v>82</v>
      </c>
      <c r="F22" s="1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6.5" customHeight="1">
      <c r="A23" s="219"/>
      <c r="B23" s="220"/>
      <c r="C23" s="16">
        <v>13</v>
      </c>
      <c r="D23" s="37"/>
      <c r="E23" s="18"/>
      <c r="F23" s="1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ht="16.5" customHeight="1">
      <c r="A24" s="219"/>
      <c r="B24" s="220"/>
      <c r="C24" s="20">
        <v>14</v>
      </c>
      <c r="D24" s="37"/>
      <c r="E24" s="18"/>
      <c r="F24" s="1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16.5" customHeight="1">
      <c r="A25" s="219"/>
      <c r="B25" s="220"/>
      <c r="C25" s="16">
        <v>15</v>
      </c>
      <c r="D25" s="37"/>
      <c r="E25" s="18"/>
      <c r="F25" s="1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16.5" customHeight="1">
      <c r="A26" s="219"/>
      <c r="B26" s="220"/>
      <c r="C26" s="16">
        <v>16</v>
      </c>
      <c r="D26" s="37"/>
      <c r="E26" s="18"/>
      <c r="F26" s="1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16.5" customHeight="1">
      <c r="A27" s="219"/>
      <c r="B27" s="220"/>
      <c r="C27" s="16">
        <v>17</v>
      </c>
      <c r="D27" s="37"/>
      <c r="E27" s="1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16.5" customHeight="1">
      <c r="A28" s="219"/>
      <c r="B28" s="220"/>
      <c r="C28" s="16">
        <v>18</v>
      </c>
      <c r="D28" s="37"/>
      <c r="E28" s="18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16.5" customHeight="1">
      <c r="A29" s="219"/>
      <c r="B29" s="220"/>
      <c r="C29" s="20">
        <v>19</v>
      </c>
      <c r="D29" s="37"/>
      <c r="E29" s="18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16.5" customHeight="1">
      <c r="A30" s="219"/>
      <c r="B30" s="220"/>
      <c r="C30" s="16">
        <v>20</v>
      </c>
      <c r="D30" s="37"/>
      <c r="E30" s="18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16.5" customHeight="1">
      <c r="A31" s="219"/>
      <c r="B31" s="220"/>
      <c r="C31" s="16">
        <v>21</v>
      </c>
      <c r="D31" s="37"/>
      <c r="E31" s="18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16.5" customHeight="1">
      <c r="A32" s="219"/>
      <c r="B32" s="220"/>
      <c r="C32" s="20">
        <v>22</v>
      </c>
      <c r="D32" s="37"/>
      <c r="E32" s="18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16.5" customHeight="1">
      <c r="A33" s="219"/>
      <c r="B33" s="220"/>
      <c r="C33" s="16">
        <v>23</v>
      </c>
      <c r="D33" s="37"/>
      <c r="E33" s="18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16.5" customHeight="1">
      <c r="A34" s="219"/>
      <c r="B34" s="220"/>
      <c r="C34" s="16">
        <v>24</v>
      </c>
      <c r="D34" s="37"/>
      <c r="E34" s="18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16.5" customHeight="1">
      <c r="A35" s="219"/>
      <c r="B35" s="220"/>
      <c r="C35" s="20">
        <v>25</v>
      </c>
      <c r="D35" s="37"/>
      <c r="E35" s="18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13.5" customHeight="1">
      <c r="A36" s="219"/>
      <c r="B36" s="220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3.5" customHeight="1">
      <c r="A37" s="219"/>
      <c r="B37" s="220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13.5" customHeight="1">
      <c r="A38" s="227"/>
      <c r="B38" s="228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13.5" customHeight="1">
      <c r="A39" s="227"/>
      <c r="B39" s="228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3.5" customHeight="1">
      <c r="A40" s="227"/>
      <c r="B40" s="228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13.5" customHeight="1">
      <c r="A41" s="227"/>
      <c r="B41" s="228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ht="13.5" customHeight="1">
      <c r="A42" s="227"/>
      <c r="B42" s="228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ht="13.5" customHeight="1">
      <c r="A43" s="227"/>
      <c r="B43" s="228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13.5" customHeight="1">
      <c r="A44" s="227"/>
      <c r="B44" s="228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13.5" customHeight="1">
      <c r="A45" s="227"/>
      <c r="B45" s="228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13.5" customHeight="1">
      <c r="A46" s="227"/>
      <c r="B46" s="228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3.5" customHeight="1">
      <c r="A47" s="227"/>
      <c r="B47" s="228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13.5" customHeight="1">
      <c r="A48" s="227"/>
      <c r="B48" s="228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13.5" customHeight="1">
      <c r="A49" s="227"/>
      <c r="B49" s="228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13.5" customHeight="1">
      <c r="A50" s="227"/>
      <c r="B50" s="228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13.5" customHeight="1">
      <c r="A51" s="227"/>
      <c r="B51" s="228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13.5" customHeight="1">
      <c r="A52" s="227"/>
      <c r="B52" s="228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13.5" customHeight="1">
      <c r="A53" s="227"/>
      <c r="B53" s="228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13.5" customHeight="1">
      <c r="A54" s="227"/>
      <c r="B54" s="228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13.5" customHeight="1">
      <c r="A55" s="227"/>
      <c r="B55" s="228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13.5" customHeight="1">
      <c r="A56" s="227"/>
      <c r="B56" s="228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13.5" customHeight="1">
      <c r="A57" s="227"/>
      <c r="B57" s="228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13.5" customHeight="1">
      <c r="A58" s="227"/>
      <c r="B58" s="228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13.5" customHeight="1">
      <c r="A59" s="227"/>
      <c r="B59" s="228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13.5" customHeight="1">
      <c r="A60" s="227"/>
      <c r="B60" s="228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13.5" customHeight="1">
      <c r="A61" s="227"/>
      <c r="B61" s="228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13.5" customHeight="1">
      <c r="A62" s="227"/>
      <c r="B62" s="228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13.5" customHeight="1">
      <c r="A63" s="227"/>
      <c r="B63" s="228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13.5" customHeight="1">
      <c r="A64" s="227"/>
      <c r="B64" s="228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13.5" customHeight="1">
      <c r="A65" s="227"/>
      <c r="B65" s="228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13.5" customHeight="1">
      <c r="A66" s="227"/>
      <c r="B66" s="228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13.5" customHeight="1">
      <c r="A67" s="227"/>
      <c r="B67" s="228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13.5" customHeight="1">
      <c r="A68" s="227"/>
      <c r="B68" s="228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13.5" customHeight="1">
      <c r="A69" s="227"/>
      <c r="B69" s="228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13.5" customHeight="1">
      <c r="A70" s="227"/>
      <c r="B70" s="228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13.5" customHeight="1">
      <c r="A71" s="227"/>
      <c r="B71" s="228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13.5" customHeight="1">
      <c r="A72" s="227"/>
      <c r="B72" s="228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13.5" customHeight="1">
      <c r="A73" s="227"/>
      <c r="B73" s="228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13.5" customHeight="1">
      <c r="A74" s="227"/>
      <c r="B74" s="228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13.5" customHeight="1">
      <c r="A75" s="227"/>
      <c r="B75" s="228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13.5" customHeight="1">
      <c r="A76" s="227"/>
      <c r="B76" s="228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13.5" customHeight="1">
      <c r="A77" s="227"/>
      <c r="B77" s="228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3.5" customHeight="1">
      <c r="A78" s="227"/>
      <c r="B78" s="228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3.5" customHeight="1">
      <c r="A79" s="227"/>
      <c r="B79" s="228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13.5" customHeight="1">
      <c r="A80" s="227"/>
      <c r="B80" s="228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13.5" customHeight="1">
      <c r="A81" s="227"/>
      <c r="B81" s="228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ht="13.5" customHeight="1">
      <c r="A82" s="227"/>
      <c r="B82" s="228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ht="13.5" customHeight="1">
      <c r="A83" s="227"/>
      <c r="B83" s="228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ht="13.5" customHeight="1">
      <c r="A84" s="227"/>
      <c r="B84" s="228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ht="13.5" customHeight="1">
      <c r="A85" s="227"/>
      <c r="B85" s="228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13.5" customHeight="1">
      <c r="A86" s="227"/>
      <c r="B86" s="228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13.5" customHeight="1">
      <c r="A87" s="227"/>
      <c r="B87" s="228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ht="13.5" customHeight="1">
      <c r="A88" s="227"/>
      <c r="B88" s="228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ht="13.5" customHeight="1">
      <c r="A89" s="227"/>
      <c r="B89" s="228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ht="13.5" customHeight="1">
      <c r="A90" s="227"/>
      <c r="B90" s="228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ht="13.5" customHeight="1">
      <c r="A91" s="227"/>
      <c r="B91" s="228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ht="13.5" customHeight="1">
      <c r="A92" s="227"/>
      <c r="B92" s="228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3.5" customHeight="1">
      <c r="A93" s="227"/>
      <c r="B93" s="228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spans="1:25" ht="13.5" customHeight="1">
      <c r="A94" s="227"/>
      <c r="B94" s="228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spans="1:25" ht="13.5" customHeight="1">
      <c r="A95" s="227"/>
      <c r="B95" s="228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13.5" customHeight="1">
      <c r="A96" s="227"/>
      <c r="B96" s="228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spans="1:25" ht="13.5" customHeight="1">
      <c r="A97" s="227"/>
      <c r="B97" s="228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spans="1:25" ht="13.5" customHeight="1">
      <c r="A98" s="227"/>
      <c r="B98" s="228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spans="1:25" ht="13.5" customHeight="1">
      <c r="A99" s="227"/>
      <c r="B99" s="228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spans="1:25" ht="13.5" customHeight="1">
      <c r="A100" s="227"/>
      <c r="B100" s="228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spans="1:25" ht="13.5" customHeight="1">
      <c r="A101" s="227"/>
      <c r="B101" s="228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spans="1:25" ht="13.5" customHeight="1">
      <c r="A102" s="227"/>
      <c r="B102" s="228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spans="1:25" ht="13.5" customHeight="1">
      <c r="A103" s="227"/>
      <c r="B103" s="228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spans="1:25" ht="13.5" customHeight="1">
      <c r="A104" s="227"/>
      <c r="B104" s="228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5" ht="13.5" customHeight="1">
      <c r="A105" s="227"/>
      <c r="B105" s="228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5" ht="13.5" customHeight="1">
      <c r="A106" s="227"/>
      <c r="B106" s="228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5" ht="13.5" customHeight="1">
      <c r="A107" s="227"/>
      <c r="B107" s="228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spans="1:25" ht="13.5" customHeight="1">
      <c r="A108" s="227"/>
      <c r="B108" s="228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spans="1:25" ht="13.5" customHeight="1">
      <c r="A109" s="227"/>
      <c r="B109" s="228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spans="1:25" ht="13.5" customHeight="1">
      <c r="A110" s="227"/>
      <c r="B110" s="228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spans="1:25" ht="13.5" customHeight="1">
      <c r="A111" s="227"/>
      <c r="B111" s="228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spans="1:25" ht="13.5" customHeight="1">
      <c r="A112" s="227"/>
      <c r="B112" s="228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spans="1:25" ht="13.5" customHeight="1">
      <c r="A113" s="227"/>
      <c r="B113" s="228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spans="1:25" ht="13.5" customHeight="1">
      <c r="A114" s="227"/>
      <c r="B114" s="228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spans="1:25" ht="13.5" customHeight="1">
      <c r="A115" s="227"/>
      <c r="B115" s="228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spans="1:25" ht="13.5" customHeight="1">
      <c r="A116" s="227"/>
      <c r="B116" s="228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spans="1:25" ht="13.5" customHeight="1">
      <c r="A117" s="1"/>
      <c r="B117" s="1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spans="1:25" ht="13.5" customHeight="1">
      <c r="A118" s="1"/>
      <c r="B118" s="1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spans="1:25" ht="13.5" customHeight="1">
      <c r="A119" s="1"/>
      <c r="B119" s="1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spans="1:25" ht="13.5" customHeight="1">
      <c r="A120" s="1"/>
      <c r="B120" s="1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spans="1:25" ht="13.5" customHeight="1">
      <c r="A121" s="1"/>
      <c r="B121" s="1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spans="1:25" ht="13.5" customHeight="1">
      <c r="A122" s="1"/>
      <c r="B122" s="1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spans="1:25" ht="13.5" customHeight="1">
      <c r="A123" s="1"/>
      <c r="B123" s="1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spans="1:25" ht="13.5" customHeight="1">
      <c r="A124" s="1"/>
      <c r="B124" s="1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spans="1:25" ht="13.5" customHeight="1">
      <c r="A125" s="1"/>
      <c r="B125" s="1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spans="1:25" ht="13.5" customHeight="1">
      <c r="A126" s="1"/>
      <c r="B126" s="1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spans="1:25" ht="13.5" customHeight="1">
      <c r="A127" s="1"/>
      <c r="B127" s="1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spans="1:25" ht="13.5" customHeight="1">
      <c r="A128" s="1"/>
      <c r="B128" s="1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spans="1:25" ht="13.5" customHeight="1">
      <c r="A129" s="1"/>
      <c r="B129" s="1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spans="1:25" ht="13.5" customHeight="1">
      <c r="A130" s="1"/>
      <c r="B130" s="1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spans="1:25" ht="13.5" customHeight="1">
      <c r="A131" s="1"/>
      <c r="B131" s="1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spans="1:25" ht="13.5" customHeight="1">
      <c r="A132" s="1"/>
      <c r="B132" s="1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spans="1:25" ht="13.5" customHeight="1">
      <c r="A133" s="1"/>
      <c r="B133" s="1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spans="1:25" ht="13.5" customHeight="1">
      <c r="A134" s="1"/>
      <c r="B134" s="1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spans="1:25" ht="13.5" customHeight="1">
      <c r="A135" s="1"/>
      <c r="B135" s="1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spans="1:25" ht="13.5" customHeight="1">
      <c r="A136" s="1"/>
      <c r="B136" s="1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spans="1:25" ht="13.5" customHeight="1">
      <c r="A137" s="1"/>
      <c r="B137" s="1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spans="1:25" ht="13.5" customHeight="1">
      <c r="A138" s="1"/>
      <c r="B138" s="1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spans="1:25" ht="13.5" customHeight="1">
      <c r="A139" s="1"/>
      <c r="B139" s="1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spans="1:25" ht="13.5" customHeight="1">
      <c r="A140" s="1"/>
      <c r="B140" s="1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spans="1:25" ht="13.5" customHeight="1">
      <c r="A141" s="1"/>
      <c r="B141" s="1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spans="1:25" ht="13.5" customHeight="1">
      <c r="A142" s="1"/>
      <c r="B142" s="1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spans="1:25" ht="13.5" customHeight="1">
      <c r="A143" s="1"/>
      <c r="B143" s="1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spans="1:25" ht="13.5" customHeight="1">
      <c r="A144" s="1"/>
      <c r="B144" s="1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spans="1:25" ht="13.5" customHeight="1">
      <c r="A145" s="1"/>
      <c r="B145" s="1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spans="1:25" ht="13.5" customHeight="1">
      <c r="A146" s="1"/>
      <c r="B146" s="1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spans="1:25" ht="13.5" customHeight="1">
      <c r="A147" s="1"/>
      <c r="B147" s="1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 ht="13.5" customHeight="1">
      <c r="A148" s="1"/>
      <c r="B148" s="1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spans="1:25" ht="13.5" customHeight="1">
      <c r="A149" s="1"/>
      <c r="B149" s="1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spans="1:25" ht="13.5" customHeight="1">
      <c r="A150" s="1"/>
      <c r="B150" s="1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spans="1:25" ht="13.5" customHeight="1">
      <c r="A151" s="1"/>
      <c r="B151" s="1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spans="1:25" ht="13.5" customHeight="1">
      <c r="A152" s="1"/>
      <c r="B152" s="1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spans="1:25" ht="13.5" customHeight="1">
      <c r="A153" s="1"/>
      <c r="B153" s="1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spans="1:25" ht="13.5" customHeight="1">
      <c r="A154" s="1"/>
      <c r="B154" s="1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spans="1:25" ht="13.5" customHeight="1">
      <c r="A155" s="1"/>
      <c r="B155" s="1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spans="1:25" ht="13.5" customHeight="1">
      <c r="A156" s="1"/>
      <c r="B156" s="1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spans="1:25" ht="13.5" customHeight="1">
      <c r="A157" s="1"/>
      <c r="B157" s="1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spans="1:25" ht="13.5" customHeight="1">
      <c r="A158" s="1"/>
      <c r="B158" s="1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spans="1:25" ht="13.5" customHeight="1">
      <c r="A159" s="1"/>
      <c r="B159" s="1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spans="1:25" ht="13.5" customHeight="1">
      <c r="A160" s="1"/>
      <c r="B160" s="1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spans="1:25" ht="13.5" customHeight="1">
      <c r="A161" s="1"/>
      <c r="B161" s="1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spans="1:25" ht="13.5" customHeight="1">
      <c r="A162" s="1"/>
      <c r="B162" s="1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spans="1:25" ht="13.5" customHeight="1">
      <c r="A163" s="1"/>
      <c r="B163" s="1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spans="1:25" ht="13.5" customHeight="1">
      <c r="A164" s="1"/>
      <c r="B164" s="1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spans="1:25" ht="13.5" customHeight="1">
      <c r="A165" s="1"/>
      <c r="B165" s="1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spans="1:25" ht="13.5" customHeight="1">
      <c r="A166" s="1"/>
      <c r="B166" s="1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spans="1:25" ht="13.5" customHeight="1">
      <c r="A167" s="1"/>
      <c r="B167" s="1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spans="1:25" ht="13.5" customHeight="1">
      <c r="A168" s="1"/>
      <c r="B168" s="1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spans="1:25" ht="13.5" customHeight="1">
      <c r="A169" s="1"/>
      <c r="B169" s="1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spans="1:25" ht="13.5" customHeight="1">
      <c r="A170" s="1"/>
      <c r="B170" s="1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spans="1:25" ht="13.5" customHeight="1">
      <c r="A171" s="1"/>
      <c r="B171" s="1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spans="1:25" ht="13.5" customHeight="1">
      <c r="A172" s="1"/>
      <c r="B172" s="1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spans="1:25" ht="13.5" customHeight="1">
      <c r="A173" s="1"/>
      <c r="B173" s="1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spans="1:25" ht="13.5" customHeight="1">
      <c r="A174" s="1"/>
      <c r="B174" s="1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spans="1:25" ht="13.5" customHeight="1">
      <c r="A175" s="1"/>
      <c r="B175" s="1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spans="1:25" ht="13.5" customHeight="1">
      <c r="A176" s="1"/>
      <c r="B176" s="1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 ht="13.5" customHeight="1">
      <c r="A177" s="1"/>
      <c r="B177" s="1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spans="1:25" ht="13.5" customHeight="1">
      <c r="A178" s="1"/>
      <c r="B178" s="1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spans="1:25" ht="13.5" customHeight="1">
      <c r="A179" s="1"/>
      <c r="B179" s="1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spans="1:25" ht="13.5" customHeight="1">
      <c r="A180" s="1"/>
      <c r="B180" s="1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spans="1:25" ht="13.5" customHeight="1">
      <c r="A181" s="1"/>
      <c r="B181" s="1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spans="1:25" ht="13.5" customHeight="1">
      <c r="A182" s="1"/>
      <c r="B182" s="1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spans="1:25" ht="13.5" customHeight="1">
      <c r="A183" s="1"/>
      <c r="B183" s="1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spans="1:25" ht="13.5" customHeight="1">
      <c r="A184" s="1"/>
      <c r="B184" s="1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spans="1:25" ht="13.5" customHeight="1">
      <c r="A185" s="1"/>
      <c r="B185" s="1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spans="1:25" ht="13.5" customHeight="1">
      <c r="A186" s="1"/>
      <c r="B186" s="1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spans="1:25" ht="13.5" customHeight="1">
      <c r="A187" s="1"/>
      <c r="B187" s="1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spans="1:25" ht="13.5" customHeight="1">
      <c r="A188" s="1"/>
      <c r="B188" s="1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spans="1:25" ht="13.5" customHeight="1">
      <c r="A189" s="1"/>
      <c r="B189" s="1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spans="1:25" ht="13.5" customHeight="1">
      <c r="A190" s="1"/>
      <c r="B190" s="1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spans="1:25" ht="13.5" customHeight="1">
      <c r="A191" s="1"/>
      <c r="B191" s="1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spans="1:25" ht="13.5" customHeight="1">
      <c r="A192" s="1"/>
      <c r="B192" s="1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spans="1:25" ht="13.5" customHeight="1">
      <c r="A193" s="1"/>
      <c r="B193" s="1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spans="1:25" ht="13.5" customHeight="1">
      <c r="A194" s="1"/>
      <c r="B194" s="1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spans="1:25" ht="13.5" customHeight="1">
      <c r="A195" s="1"/>
      <c r="B195" s="1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spans="1:25" ht="13.5" customHeight="1">
      <c r="A196" s="1"/>
      <c r="B196" s="1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spans="1:25" ht="13.5" customHeight="1">
      <c r="A197" s="1"/>
      <c r="B197" s="1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spans="1:25" ht="13.5" customHeight="1">
      <c r="A198" s="1"/>
      <c r="B198" s="1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spans="1:25" ht="13.5" customHeight="1">
      <c r="A199" s="1"/>
      <c r="B199" s="1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spans="1:25" ht="13.5" customHeight="1">
      <c r="A200" s="1"/>
      <c r="B200" s="1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spans="1:25" ht="13.5" customHeight="1">
      <c r="A201" s="1"/>
      <c r="B201" s="1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spans="1:25" ht="13.5" customHeight="1">
      <c r="A202" s="1"/>
      <c r="B202" s="1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spans="1:25" ht="13.5" customHeight="1">
      <c r="A203" s="1"/>
      <c r="B203" s="1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spans="1:25" ht="13.5" customHeight="1">
      <c r="A204" s="1"/>
      <c r="B204" s="1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spans="1:25" ht="13.5" customHeight="1">
      <c r="A205" s="1"/>
      <c r="B205" s="1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spans="1:25" ht="13.5" customHeight="1">
      <c r="A206" s="1"/>
      <c r="B206" s="1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spans="1:25" ht="13.5" customHeight="1">
      <c r="A207" s="1"/>
      <c r="B207" s="1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spans="1:25" ht="13.5" customHeight="1">
      <c r="A208" s="1"/>
      <c r="B208" s="1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spans="1:25" ht="13.5" customHeight="1">
      <c r="A209" s="1"/>
      <c r="B209" s="1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spans="1:25" ht="13.5" customHeight="1">
      <c r="A210" s="1"/>
      <c r="B210" s="1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spans="1:25" ht="13.5" customHeight="1">
      <c r="A211" s="1"/>
      <c r="B211" s="1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spans="1:25" ht="13.5" customHeight="1">
      <c r="A212" s="1"/>
      <c r="B212" s="1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spans="1:25" ht="13.5" customHeight="1">
      <c r="A213" s="1"/>
      <c r="B213" s="1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spans="1:25" ht="13.5" customHeight="1">
      <c r="A214" s="1"/>
      <c r="B214" s="1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spans="1:25" ht="13.5" customHeight="1">
      <c r="A215" s="1"/>
      <c r="B215" s="1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spans="1:25" ht="13.5" customHeight="1">
      <c r="A216" s="1"/>
      <c r="B216" s="1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spans="1:25" ht="13.5" customHeight="1">
      <c r="A217" s="1"/>
      <c r="B217" s="1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spans="1:25" ht="13.5" customHeight="1">
      <c r="A218" s="1"/>
      <c r="B218" s="1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spans="1:25" ht="13.5" customHeight="1">
      <c r="A219" s="1"/>
      <c r="B219" s="1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spans="1:25" ht="13.5" customHeight="1">
      <c r="A220" s="1"/>
      <c r="B220" s="1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spans="1:25" ht="13.5" customHeight="1">
      <c r="A221" s="1"/>
      <c r="B221" s="1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spans="1:25" ht="13.5" customHeight="1">
      <c r="A222" s="1"/>
      <c r="B222" s="1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spans="1:25" ht="13.5" customHeight="1">
      <c r="A223" s="1"/>
      <c r="B223" s="1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spans="1:25" ht="13.5" customHeight="1">
      <c r="A224" s="1"/>
      <c r="B224" s="1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ht="13.5" customHeight="1">
      <c r="A225" s="1"/>
      <c r="B225" s="1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spans="1:25" ht="13.5" customHeight="1">
      <c r="A226" s="1"/>
      <c r="B226" s="1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spans="1:25" ht="13.5" customHeight="1">
      <c r="A227" s="1"/>
      <c r="B227" s="1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spans="1:25" ht="13.5" customHeight="1">
      <c r="A228" s="1"/>
      <c r="B228" s="1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spans="1:25" ht="13.5" customHeight="1">
      <c r="A229" s="1"/>
      <c r="B229" s="1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spans="1:25" ht="13.5" customHeight="1">
      <c r="A230" s="1"/>
      <c r="B230" s="1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spans="1:25" ht="13.5" customHeight="1">
      <c r="A231" s="1"/>
      <c r="B231" s="1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spans="1:25" ht="13.5" customHeight="1">
      <c r="A232" s="1"/>
      <c r="B232" s="1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spans="1:25" ht="13.5" customHeight="1">
      <c r="A233" s="1"/>
      <c r="B233" s="1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spans="1:25" ht="13.5" customHeight="1">
      <c r="A234" s="1"/>
      <c r="B234" s="1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spans="1:25" ht="13.5" customHeight="1">
      <c r="A235" s="1"/>
      <c r="B235" s="1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spans="1:25" ht="15.7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</row>
    <row r="237" spans="1:25" ht="15.7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</row>
    <row r="238" spans="1:25" ht="15.7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</row>
    <row r="239" spans="1:25" ht="15.7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</row>
    <row r="240" spans="1:25" ht="15.7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H2"/>
  </mergeCells>
  <conditionalFormatting sqref="E11:E35">
    <cfRule type="containsText" dxfId="2" priority="1" operator="containsText" text="N/A">
      <formula>NOT(ISERROR(SEARCH(("N/A"),(E11))))</formula>
    </cfRule>
  </conditionalFormatting>
  <conditionalFormatting sqref="E11:E35">
    <cfRule type="containsText" dxfId="1" priority="2" operator="containsText" text="Oui">
      <formula>NOT(ISERROR(SEARCH(("Oui"),(E11))))</formula>
    </cfRule>
  </conditionalFormatting>
  <conditionalFormatting sqref="E11:E35">
    <cfRule type="containsText" dxfId="0" priority="3" operator="containsText" text="Non">
      <formula>NOT(ISERROR(SEARCH(("Non"),(E11))))</formula>
    </cfRule>
  </conditionalFormatting>
  <dataValidations count="1">
    <dataValidation type="list" allowBlank="1" showErrorMessage="1" sqref="E11:E35" xr:uid="{00000000-0002-0000-0100-000000000000}">
      <formula1>"Oui,Non,N/A"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Z995"/>
  <sheetViews>
    <sheetView showGridLines="0" workbookViewId="0">
      <pane xSplit="1" ySplit="5" topLeftCell="B32" activePane="bottomRight" state="frozen"/>
      <selection pane="bottomRight" activeCell="H71" sqref="H71"/>
      <selection pane="bottomLeft" activeCell="A6" sqref="A6"/>
      <selection pane="topRight" activeCell="B1" sqref="B1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4.7109375" customWidth="1"/>
    <col min="4" max="4" width="35.140625" customWidth="1"/>
    <col min="5" max="5" width="14.5703125" customWidth="1"/>
    <col min="6" max="8" width="18" customWidth="1"/>
    <col min="9" max="9" width="32.85546875" customWidth="1"/>
    <col min="10" max="11" width="18" customWidth="1"/>
    <col min="12" max="13" width="18.140625" customWidth="1"/>
    <col min="14" max="19" width="9.140625" customWidth="1"/>
    <col min="20" max="21" width="10.5703125" customWidth="1"/>
    <col min="22" max="26" width="14.5703125" customWidth="1"/>
  </cols>
  <sheetData>
    <row r="1" spans="1:26" ht="8.25" customHeight="1">
      <c r="A1" s="219"/>
      <c r="B1" s="220"/>
      <c r="C1" s="33"/>
      <c r="D1" s="33"/>
      <c r="E1" s="33"/>
      <c r="F1" s="33"/>
      <c r="G1" s="33"/>
      <c r="H1" s="38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7.25" customHeight="1">
      <c r="A2" s="219"/>
      <c r="B2" s="220"/>
      <c r="C2" s="33"/>
      <c r="D2" s="353" t="s">
        <v>94</v>
      </c>
      <c r="E2" s="346"/>
      <c r="F2" s="346"/>
      <c r="G2" s="346"/>
      <c r="H2" s="376" t="s">
        <v>95</v>
      </c>
      <c r="I2" s="352"/>
      <c r="J2" s="352"/>
      <c r="K2" s="352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7.25" customHeight="1">
      <c r="A3" s="219"/>
      <c r="B3" s="220"/>
      <c r="C3" s="33"/>
      <c r="D3" s="346"/>
      <c r="E3" s="346"/>
      <c r="F3" s="346"/>
      <c r="G3" s="346"/>
      <c r="H3" s="377" t="s">
        <v>96</v>
      </c>
      <c r="I3" s="352"/>
      <c r="J3" s="352"/>
      <c r="K3" s="352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7.25" customHeight="1">
      <c r="A4" s="219"/>
      <c r="B4" s="220"/>
      <c r="C4" s="33"/>
      <c r="D4" s="346"/>
      <c r="E4" s="346"/>
      <c r="F4" s="346"/>
      <c r="G4" s="346"/>
      <c r="H4" s="33"/>
      <c r="I4" s="39"/>
      <c r="J4" s="39"/>
      <c r="K4" s="39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7.25" customHeight="1">
      <c r="A5" s="219"/>
      <c r="B5" s="220"/>
      <c r="C5" s="33"/>
      <c r="D5" s="230" t="s">
        <v>19</v>
      </c>
      <c r="E5" s="40" t="s">
        <v>97</v>
      </c>
      <c r="F5" s="39" t="s">
        <v>98</v>
      </c>
      <c r="G5" s="41">
        <v>2025</v>
      </c>
      <c r="H5" s="41">
        <f t="shared" ref="H5:K5" si="0">G5+1</f>
        <v>2026</v>
      </c>
      <c r="I5" s="41">
        <f t="shared" si="0"/>
        <v>2027</v>
      </c>
      <c r="J5" s="41">
        <f t="shared" si="0"/>
        <v>2028</v>
      </c>
      <c r="K5" s="41">
        <f t="shared" si="0"/>
        <v>2029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7.25" customHeight="1">
      <c r="A6" s="219"/>
      <c r="B6" s="220"/>
      <c r="C6" s="33"/>
      <c r="D6" s="42"/>
      <c r="E6" s="40"/>
      <c r="F6" s="39"/>
      <c r="G6" s="39"/>
      <c r="H6" s="39"/>
      <c r="I6" s="39"/>
      <c r="J6" s="39"/>
      <c r="K6" s="39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7.25" customHeight="1">
      <c r="A7" s="219"/>
      <c r="B7" s="220"/>
      <c r="C7" s="33"/>
      <c r="D7" s="33"/>
      <c r="E7" s="4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7.25" customHeight="1">
      <c r="A8" s="219"/>
      <c r="B8" s="220"/>
      <c r="C8" s="33"/>
      <c r="D8" s="231" t="s">
        <v>99</v>
      </c>
      <c r="E8" s="232"/>
      <c r="F8" s="233"/>
      <c r="G8" s="233"/>
      <c r="H8" s="233"/>
      <c r="I8" s="233"/>
      <c r="J8" s="233"/>
      <c r="K8" s="2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7.25" customHeight="1">
      <c r="A9" s="219"/>
      <c r="B9" s="220"/>
      <c r="C9" s="33"/>
      <c r="D9" s="44" t="s">
        <v>100</v>
      </c>
      <c r="E9" s="4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7.25" customHeight="1">
      <c r="A10" s="219"/>
      <c r="B10" s="220"/>
      <c r="C10" s="33"/>
      <c r="D10" s="44"/>
      <c r="E10" s="4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7.25" customHeight="1">
      <c r="A11" s="219"/>
      <c r="B11" s="220"/>
      <c r="C11" s="33"/>
      <c r="D11" s="234" t="s">
        <v>101</v>
      </c>
      <c r="E11" s="235" t="s">
        <v>102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7.25" customHeight="1">
      <c r="A12" s="219"/>
      <c r="B12" s="220"/>
      <c r="C12" s="33"/>
      <c r="D12" s="33"/>
      <c r="E12" s="4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7.25" customHeight="1">
      <c r="A13" s="219"/>
      <c r="B13" s="220"/>
      <c r="C13" s="33"/>
      <c r="D13" s="234" t="s">
        <v>103</v>
      </c>
      <c r="E13" s="235" t="s">
        <v>104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7.25" customHeight="1">
      <c r="A14" s="219"/>
      <c r="B14" s="220"/>
      <c r="C14" s="33"/>
      <c r="D14" s="33"/>
      <c r="E14" s="4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7.25" customHeight="1">
      <c r="A15" s="219"/>
      <c r="B15" s="220"/>
      <c r="C15" s="33"/>
      <c r="D15" s="234" t="s">
        <v>105</v>
      </c>
      <c r="E15" s="43"/>
      <c r="F15" s="33"/>
      <c r="G15" s="33"/>
      <c r="H15" s="33"/>
      <c r="I15" s="234" t="s">
        <v>106</v>
      </c>
      <c r="J15" s="4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7.25" customHeight="1">
      <c r="A16" s="219"/>
      <c r="B16" s="220"/>
      <c r="C16" s="33"/>
      <c r="D16" s="45" t="s">
        <v>107</v>
      </c>
      <c r="E16" s="375" t="s">
        <v>108</v>
      </c>
      <c r="F16" s="373"/>
      <c r="G16" s="374"/>
      <c r="H16" s="33"/>
      <c r="I16" s="45" t="s">
        <v>109</v>
      </c>
      <c r="J16" s="372" t="s">
        <v>110</v>
      </c>
      <c r="K16" s="373"/>
      <c r="L16" s="374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7.25" customHeight="1">
      <c r="A17" s="219"/>
      <c r="B17" s="220"/>
      <c r="C17" s="33"/>
      <c r="D17" s="45" t="s">
        <v>111</v>
      </c>
      <c r="E17" s="375" t="s">
        <v>112</v>
      </c>
      <c r="F17" s="373"/>
      <c r="G17" s="374"/>
      <c r="H17" s="33"/>
      <c r="I17" s="45" t="s">
        <v>109</v>
      </c>
      <c r="J17" s="372" t="s">
        <v>113</v>
      </c>
      <c r="K17" s="373"/>
      <c r="L17" s="374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7.25" customHeight="1">
      <c r="A18" s="219"/>
      <c r="B18" s="220"/>
      <c r="C18" s="33"/>
      <c r="D18" s="45" t="s">
        <v>114</v>
      </c>
      <c r="E18" s="375" t="s">
        <v>115</v>
      </c>
      <c r="F18" s="373"/>
      <c r="G18" s="374"/>
      <c r="H18" s="33"/>
      <c r="I18" s="45" t="s">
        <v>109</v>
      </c>
      <c r="J18" s="372" t="s">
        <v>116</v>
      </c>
      <c r="K18" s="373"/>
      <c r="L18" s="374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7.25" customHeight="1">
      <c r="A19" s="219"/>
      <c r="B19" s="220"/>
      <c r="C19" s="33"/>
      <c r="D19" s="45" t="s">
        <v>117</v>
      </c>
      <c r="E19" s="375" t="s">
        <v>118</v>
      </c>
      <c r="F19" s="373"/>
      <c r="G19" s="374"/>
      <c r="H19" s="33"/>
      <c r="I19" s="45" t="s">
        <v>109</v>
      </c>
      <c r="J19" s="372" t="s">
        <v>119</v>
      </c>
      <c r="K19" s="373"/>
      <c r="L19" s="374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7.25" customHeight="1">
      <c r="A20" s="219"/>
      <c r="B20" s="220"/>
      <c r="C20" s="33"/>
      <c r="D20" s="45" t="s">
        <v>120</v>
      </c>
      <c r="E20" s="375" t="s">
        <v>121</v>
      </c>
      <c r="F20" s="373"/>
      <c r="G20" s="374"/>
      <c r="H20" s="33"/>
      <c r="I20" s="45" t="s">
        <v>109</v>
      </c>
      <c r="J20" s="372" t="s">
        <v>122</v>
      </c>
      <c r="K20" s="373"/>
      <c r="L20" s="374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7.25" customHeight="1">
      <c r="A21" s="219"/>
      <c r="B21" s="220"/>
      <c r="C21" s="33"/>
      <c r="D21" s="33"/>
      <c r="E21" s="43"/>
      <c r="F21" s="33"/>
      <c r="G21" s="33"/>
      <c r="H21" s="33"/>
      <c r="I21" s="339"/>
      <c r="J21" s="339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7.25" customHeight="1">
      <c r="A22" s="219"/>
      <c r="B22" s="220"/>
      <c r="C22" s="33"/>
      <c r="D22" s="33" t="s">
        <v>123</v>
      </c>
      <c r="E22" s="46" t="s">
        <v>124</v>
      </c>
      <c r="F22" s="47">
        <v>0.3</v>
      </c>
      <c r="G22" s="48" t="str">
        <f>IF(Taux_IS="","Required field","")</f>
        <v/>
      </c>
      <c r="H22" s="33"/>
      <c r="I22" s="339"/>
      <c r="J22" s="339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7.25" customHeight="1">
      <c r="A23" s="219"/>
      <c r="B23" s="220"/>
      <c r="C23" s="33"/>
      <c r="D23" s="33" t="s">
        <v>125</v>
      </c>
      <c r="E23" s="46" t="s">
        <v>124</v>
      </c>
      <c r="F23" s="49">
        <v>9</v>
      </c>
      <c r="G23" s="48"/>
      <c r="H23" s="33"/>
      <c r="I23" s="339"/>
      <c r="J23" s="339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7.25" customHeight="1">
      <c r="A24" s="219"/>
      <c r="B24" s="220"/>
      <c r="C24" s="33"/>
      <c r="D24" s="33" t="s">
        <v>126</v>
      </c>
      <c r="E24" s="46" t="s">
        <v>124</v>
      </c>
      <c r="F24" s="47">
        <v>1.12E-2</v>
      </c>
      <c r="G24" s="48" t="str">
        <f>IF(Inflation="","Required field","")</f>
        <v/>
      </c>
      <c r="H24" s="50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7.25" customHeight="1">
      <c r="A25" s="219"/>
      <c r="B25" s="220"/>
      <c r="C25" s="33"/>
      <c r="D25" s="33" t="s">
        <v>127</v>
      </c>
      <c r="E25" s="46" t="s">
        <v>128</v>
      </c>
      <c r="F25" s="51">
        <v>365</v>
      </c>
      <c r="G25" s="48"/>
      <c r="H25" s="50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7.25" customHeight="1">
      <c r="A26" s="219"/>
      <c r="B26" s="220"/>
      <c r="C26" s="33"/>
      <c r="D26" s="33" t="s">
        <v>129</v>
      </c>
      <c r="E26" s="46" t="s">
        <v>130</v>
      </c>
      <c r="F26" s="51">
        <v>12</v>
      </c>
      <c r="G26" s="48"/>
      <c r="H26" s="50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7.25" customHeight="1">
      <c r="A27" s="219"/>
      <c r="B27" s="220"/>
      <c r="C27" s="33"/>
      <c r="D27" s="33" t="s">
        <v>131</v>
      </c>
      <c r="E27" s="46" t="s">
        <v>132</v>
      </c>
      <c r="F27" s="51">
        <v>52</v>
      </c>
      <c r="G27" s="48"/>
      <c r="H27" s="50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7.25" customHeight="1">
      <c r="A28" s="219"/>
      <c r="B28" s="220"/>
      <c r="C28" s="33"/>
      <c r="D28" s="52" t="s">
        <v>133</v>
      </c>
      <c r="E28" s="46" t="s">
        <v>128</v>
      </c>
      <c r="F28" s="51">
        <v>30</v>
      </c>
      <c r="G28" s="48"/>
      <c r="H28" s="50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7.25" customHeight="1">
      <c r="A29" s="219"/>
      <c r="B29" s="220"/>
      <c r="C29" s="33"/>
      <c r="D29" s="52" t="s">
        <v>134</v>
      </c>
      <c r="E29" s="46" t="s">
        <v>128</v>
      </c>
      <c r="F29" s="51">
        <v>30</v>
      </c>
      <c r="G29" s="48"/>
      <c r="H29" s="50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7.25" customHeight="1">
      <c r="A30" s="219"/>
      <c r="B30" s="220"/>
      <c r="C30" s="33"/>
      <c r="D30" s="52" t="s">
        <v>135</v>
      </c>
      <c r="E30" s="46" t="s">
        <v>128</v>
      </c>
      <c r="F30" s="51">
        <v>60</v>
      </c>
      <c r="G30" s="48"/>
      <c r="H30" s="50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7.25" customHeight="1">
      <c r="A31" s="219"/>
      <c r="B31" s="220"/>
      <c r="C31" s="33"/>
      <c r="D31" s="33"/>
      <c r="E31" s="53"/>
      <c r="F31" s="48"/>
      <c r="G31" s="48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7.25" customHeight="1">
      <c r="A32" s="219"/>
      <c r="B32" s="220"/>
      <c r="C32" s="33"/>
      <c r="D32" s="234" t="s">
        <v>136</v>
      </c>
      <c r="E32" s="53"/>
      <c r="F32" s="53"/>
      <c r="G32" s="53"/>
      <c r="H32" s="5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7.25" customHeight="1">
      <c r="A33" s="219"/>
      <c r="B33" s="220"/>
      <c r="C33" s="33"/>
      <c r="D33" s="54" t="s">
        <v>137</v>
      </c>
      <c r="E33" s="53" t="s">
        <v>138</v>
      </c>
      <c r="F33" s="55">
        <v>0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7.25" customHeight="1">
      <c r="A34" s="219"/>
      <c r="B34" s="220"/>
      <c r="C34" s="33"/>
      <c r="D34" s="54" t="s">
        <v>139</v>
      </c>
      <c r="E34" s="53" t="s">
        <v>138</v>
      </c>
      <c r="F34" s="55">
        <v>10</v>
      </c>
      <c r="G34" s="33"/>
      <c r="H34" s="50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7.25" customHeight="1">
      <c r="A35" s="219"/>
      <c r="B35" s="220"/>
      <c r="C35" s="33"/>
      <c r="D35" s="54" t="s">
        <v>140</v>
      </c>
      <c r="E35" s="53" t="s">
        <v>138</v>
      </c>
      <c r="F35" s="55">
        <v>10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7.25" customHeight="1">
      <c r="A36" s="219"/>
      <c r="B36" s="220"/>
      <c r="C36" s="33"/>
      <c r="D36" s="54" t="s">
        <v>141</v>
      </c>
      <c r="E36" s="53" t="s">
        <v>138</v>
      </c>
      <c r="F36" s="55">
        <v>10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7.25" customHeight="1">
      <c r="A37" s="219"/>
      <c r="B37" s="220"/>
      <c r="C37" s="33"/>
      <c r="D37" s="54" t="s">
        <v>142</v>
      </c>
      <c r="E37" s="53" t="s">
        <v>138</v>
      </c>
      <c r="F37" s="55">
        <v>5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7.25" customHeight="1">
      <c r="A38" s="219"/>
      <c r="B38" s="220"/>
      <c r="C38" s="33"/>
      <c r="D38" s="54" t="s">
        <v>143</v>
      </c>
      <c r="E38" s="53" t="s">
        <v>138</v>
      </c>
      <c r="F38" s="55">
        <v>5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7.25" customHeight="1">
      <c r="A39" s="219"/>
      <c r="B39" s="220"/>
      <c r="C39" s="33"/>
      <c r="D39" s="54" t="s">
        <v>144</v>
      </c>
      <c r="E39" s="53" t="s">
        <v>138</v>
      </c>
      <c r="F39" s="55">
        <v>5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7.25" customHeight="1">
      <c r="A40" s="219"/>
      <c r="B40" s="220"/>
      <c r="C40" s="33"/>
      <c r="D40" s="33" t="s">
        <v>145</v>
      </c>
      <c r="E40" s="53" t="s">
        <v>124</v>
      </c>
      <c r="F40" s="56">
        <v>0.85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7.25" customHeight="1">
      <c r="A41" s="219"/>
      <c r="B41" s="220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7.25" customHeight="1">
      <c r="A42" s="219"/>
      <c r="B42" s="220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7.25" customHeight="1">
      <c r="A43" s="227"/>
      <c r="B43" s="228"/>
      <c r="C43" s="33"/>
      <c r="D43" s="231" t="s">
        <v>146</v>
      </c>
      <c r="E43" s="232"/>
      <c r="F43" s="233"/>
      <c r="G43" s="233"/>
      <c r="H43" s="233"/>
      <c r="I43" s="233"/>
      <c r="J43" s="233"/>
      <c r="K43" s="233"/>
      <c r="L43" s="57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7.25" customHeight="1">
      <c r="A44" s="227"/>
      <c r="B44" s="228"/>
      <c r="C44" s="33"/>
      <c r="D44" s="44" t="s">
        <v>147</v>
      </c>
      <c r="E44" s="43"/>
      <c r="F44" s="33"/>
      <c r="G44" s="33"/>
      <c r="H44" s="33"/>
      <c r="I44" s="33"/>
      <c r="J44" s="33"/>
      <c r="K44" s="33"/>
      <c r="L44" s="57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7.25" customHeight="1">
      <c r="A45" s="227"/>
      <c r="B45" s="228"/>
      <c r="C45" s="33"/>
      <c r="D45" s="33"/>
      <c r="E45" s="4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7.25" customHeight="1">
      <c r="A46" s="227"/>
      <c r="B46" s="228"/>
      <c r="C46" s="33"/>
      <c r="D46" s="58" t="s">
        <v>148</v>
      </c>
      <c r="E46" s="59"/>
      <c r="F46" s="60"/>
      <c r="G46" s="60"/>
      <c r="H46" s="60"/>
      <c r="I46" s="60" t="s">
        <v>149</v>
      </c>
      <c r="J46" s="60" t="s">
        <v>150</v>
      </c>
      <c r="K46" s="60" t="s">
        <v>151</v>
      </c>
      <c r="L46" s="60" t="s">
        <v>152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7.25" customHeight="1">
      <c r="A47" s="227"/>
      <c r="B47" s="228"/>
      <c r="C47" s="33"/>
      <c r="D47" s="236" t="str">
        <f>IF(E16="","Produit/Service 1",E16)</f>
        <v>Produit 1</v>
      </c>
      <c r="E47" s="43"/>
      <c r="F47" s="33"/>
      <c r="G47" s="61"/>
      <c r="H47" s="61"/>
      <c r="I47" s="62" t="str">
        <f t="shared" ref="I47:I52" si="1">D87</f>
        <v>Achat de matière et fourniture liée</v>
      </c>
      <c r="J47" s="63">
        <f t="shared" ref="J47:L47" si="2">SUM(J48:J52)</f>
        <v>125</v>
      </c>
      <c r="K47" s="63">
        <f t="shared" si="2"/>
        <v>1290</v>
      </c>
      <c r="L47" s="63">
        <f>SUM(L48:L52)</f>
        <v>28300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7.25" customHeight="1">
      <c r="A48" s="227"/>
      <c r="B48" s="228"/>
      <c r="C48" s="33"/>
      <c r="D48" s="45" t="s">
        <v>153</v>
      </c>
      <c r="E48" s="53" t="s">
        <v>154</v>
      </c>
      <c r="F48" s="33"/>
      <c r="G48" s="63">
        <v>6</v>
      </c>
      <c r="H48" s="33"/>
      <c r="I48" s="64" t="str">
        <f t="shared" si="1"/>
        <v>Matière A</v>
      </c>
      <c r="J48" s="55">
        <v>10</v>
      </c>
      <c r="K48" s="55">
        <v>300</v>
      </c>
      <c r="L48" s="63">
        <f t="shared" ref="L48:L52" si="3">J48*K48</f>
        <v>3000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7.25" customHeight="1">
      <c r="A49" s="227"/>
      <c r="B49" s="228"/>
      <c r="C49" s="33"/>
      <c r="D49" s="45" t="s">
        <v>155</v>
      </c>
      <c r="E49" s="53" t="s">
        <v>156</v>
      </c>
      <c r="F49" s="33"/>
      <c r="G49" s="55">
        <v>10000</v>
      </c>
      <c r="H49" s="33"/>
      <c r="I49" s="64" t="str">
        <f t="shared" si="1"/>
        <v>Matière B</v>
      </c>
      <c r="J49" s="55">
        <v>70</v>
      </c>
      <c r="K49" s="55">
        <v>210</v>
      </c>
      <c r="L49" s="63">
        <f t="shared" si="3"/>
        <v>14700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7.25" customHeight="1">
      <c r="A50" s="227"/>
      <c r="B50" s="228"/>
      <c r="C50" s="33"/>
      <c r="D50" s="236" t="str">
        <f>IF(E17="","Produit/Service 2",E17)</f>
        <v>Produit 2</v>
      </c>
      <c r="E50" s="43"/>
      <c r="F50" s="33"/>
      <c r="G50" s="65"/>
      <c r="H50" s="33"/>
      <c r="I50" s="64" t="str">
        <f t="shared" si="1"/>
        <v>Matière C</v>
      </c>
      <c r="J50" s="55">
        <v>20</v>
      </c>
      <c r="K50" s="55">
        <v>230</v>
      </c>
      <c r="L50" s="63">
        <f t="shared" si="3"/>
        <v>4600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7.25" customHeight="1">
      <c r="A51" s="227"/>
      <c r="B51" s="228"/>
      <c r="C51" s="33"/>
      <c r="D51" s="45" t="s">
        <v>157</v>
      </c>
      <c r="E51" s="53" t="s">
        <v>154</v>
      </c>
      <c r="F51" s="33"/>
      <c r="G51" s="63">
        <v>5</v>
      </c>
      <c r="H51" s="33"/>
      <c r="I51" s="64" t="str">
        <f t="shared" si="1"/>
        <v>Matière D</v>
      </c>
      <c r="J51" s="55">
        <v>16</v>
      </c>
      <c r="K51" s="55">
        <v>150</v>
      </c>
      <c r="L51" s="63">
        <f t="shared" si="3"/>
        <v>2400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7.25" customHeight="1">
      <c r="A52" s="227"/>
      <c r="B52" s="228"/>
      <c r="C52" s="33"/>
      <c r="D52" s="45" t="s">
        <v>155</v>
      </c>
      <c r="E52" s="53" t="s">
        <v>156</v>
      </c>
      <c r="F52" s="33"/>
      <c r="G52" s="55">
        <v>15000</v>
      </c>
      <c r="H52" s="33"/>
      <c r="I52" s="64" t="str">
        <f t="shared" si="1"/>
        <v>Matière E</v>
      </c>
      <c r="J52" s="55">
        <v>9</v>
      </c>
      <c r="K52" s="55">
        <v>400</v>
      </c>
      <c r="L52" s="63">
        <f>J52*K52</f>
        <v>3600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7.25" customHeight="1">
      <c r="A53" s="227"/>
      <c r="B53" s="228"/>
      <c r="C53" s="33"/>
      <c r="D53" s="236" t="str">
        <f>IF(E18="","Produit/Service 3",E18)</f>
        <v>Produit 3</v>
      </c>
      <c r="E53" s="43"/>
      <c r="F53" s="33"/>
      <c r="G53" s="65"/>
      <c r="H53" s="33"/>
      <c r="I53" s="62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7.25" customHeight="1">
      <c r="A54" s="227"/>
      <c r="B54" s="228"/>
      <c r="C54" s="33"/>
      <c r="D54" s="45" t="s">
        <v>157</v>
      </c>
      <c r="E54" s="53" t="s">
        <v>154</v>
      </c>
      <c r="F54" s="33"/>
      <c r="G54" s="63">
        <v>4</v>
      </c>
      <c r="H54" s="33"/>
      <c r="I54" s="339"/>
      <c r="J54" s="339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7.25" customHeight="1">
      <c r="A55" s="227"/>
      <c r="B55" s="228"/>
      <c r="C55" s="33"/>
      <c r="D55" s="45" t="s">
        <v>155</v>
      </c>
      <c r="E55" s="53" t="s">
        <v>156</v>
      </c>
      <c r="F55" s="33"/>
      <c r="G55" s="55">
        <v>20000</v>
      </c>
      <c r="H55" s="33"/>
      <c r="I55" s="339"/>
      <c r="J55" s="339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7.25" customHeight="1">
      <c r="A56" s="227"/>
      <c r="B56" s="228"/>
      <c r="C56" s="33"/>
      <c r="D56" s="236" t="str">
        <f>IF(E19="","Produit/Service 3",E19)</f>
        <v>Produit 4</v>
      </c>
      <c r="E56" s="43"/>
      <c r="F56" s="33"/>
      <c r="G56" s="65"/>
      <c r="H56" s="33"/>
      <c r="I56" s="66"/>
      <c r="J56" s="66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7.25" customHeight="1">
      <c r="A57" s="227"/>
      <c r="B57" s="228"/>
      <c r="C57" s="33"/>
      <c r="D57" s="45" t="s">
        <v>157</v>
      </c>
      <c r="E57" s="53" t="s">
        <v>154</v>
      </c>
      <c r="F57" s="33"/>
      <c r="G57" s="63">
        <f>$F$27*G58</f>
        <v>0</v>
      </c>
      <c r="H57" s="33"/>
      <c r="I57" s="66"/>
      <c r="J57" s="66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7.25" customHeight="1">
      <c r="A58" s="227"/>
      <c r="B58" s="228"/>
      <c r="C58" s="33"/>
      <c r="D58" s="45" t="s">
        <v>155</v>
      </c>
      <c r="E58" s="53" t="s">
        <v>156</v>
      </c>
      <c r="F58" s="33"/>
      <c r="G58" s="55">
        <v>0</v>
      </c>
      <c r="H58" s="33"/>
      <c r="I58" s="66"/>
      <c r="J58" s="66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7.25" customHeight="1">
      <c r="A59" s="227"/>
      <c r="B59" s="228"/>
      <c r="C59" s="33"/>
      <c r="D59" s="236" t="str">
        <f>IF(E20="","Produit/Service 3",E20)</f>
        <v>Produit 5</v>
      </c>
      <c r="E59" s="43"/>
      <c r="F59" s="33"/>
      <c r="G59" s="65"/>
      <c r="H59" s="33"/>
      <c r="I59" s="339"/>
      <c r="J59" s="339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7.25" customHeight="1">
      <c r="A60" s="227"/>
      <c r="B60" s="228"/>
      <c r="C60" s="33"/>
      <c r="D60" s="45" t="s">
        <v>157</v>
      </c>
      <c r="E60" s="53" t="s">
        <v>154</v>
      </c>
      <c r="F60" s="33"/>
      <c r="G60" s="63">
        <f>$F$27*G61</f>
        <v>0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7.25" customHeight="1">
      <c r="A61" s="227"/>
      <c r="B61" s="228"/>
      <c r="C61" s="33"/>
      <c r="D61" s="45" t="s">
        <v>155</v>
      </c>
      <c r="E61" s="53" t="s">
        <v>156</v>
      </c>
      <c r="F61" s="33"/>
      <c r="G61" s="55">
        <v>0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7.25" customHeight="1">
      <c r="A62" s="227"/>
      <c r="B62" s="228"/>
      <c r="C62" s="33"/>
      <c r="D62" s="33"/>
      <c r="E62" s="4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7.25" customHeight="1">
      <c r="A63" s="227"/>
      <c r="B63" s="228"/>
      <c r="C63" s="33"/>
      <c r="D63" s="33"/>
      <c r="E63" s="4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7.25" customHeight="1">
      <c r="A64" s="227"/>
      <c r="B64" s="228"/>
      <c r="C64" s="33"/>
      <c r="D64" s="33"/>
      <c r="E64" s="4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7.25" customHeight="1">
      <c r="A65" s="227"/>
      <c r="B65" s="228"/>
      <c r="C65" s="33"/>
      <c r="D65" s="231" t="s">
        <v>158</v>
      </c>
      <c r="E65" s="232"/>
      <c r="F65" s="233"/>
      <c r="G65" s="233"/>
      <c r="H65" s="233"/>
      <c r="I65" s="233"/>
      <c r="J65" s="233"/>
      <c r="K65" s="233"/>
      <c r="L65" s="57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7.25" customHeight="1">
      <c r="A66" s="227"/>
      <c r="B66" s="228"/>
      <c r="C66" s="33"/>
      <c r="D66" s="44" t="s">
        <v>159</v>
      </c>
      <c r="E66" s="43"/>
      <c r="F66" s="33"/>
      <c r="G66" s="33"/>
      <c r="H66" s="33"/>
      <c r="I66" s="33"/>
      <c r="J66" s="33"/>
      <c r="K66" s="33"/>
      <c r="L66" s="57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7.25" customHeight="1">
      <c r="A67" s="227"/>
      <c r="B67" s="228"/>
      <c r="C67" s="33"/>
      <c r="D67" s="33"/>
      <c r="E67" s="4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7.25" customHeight="1">
      <c r="A68" s="227"/>
      <c r="B68" s="228"/>
      <c r="C68" s="33"/>
      <c r="D68" s="58" t="s">
        <v>148</v>
      </c>
      <c r="E68" s="59"/>
      <c r="F68" s="60"/>
      <c r="G68" s="60"/>
      <c r="H68" s="60"/>
      <c r="I68" s="60"/>
      <c r="J68" s="60"/>
      <c r="K68" s="60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7.25" customHeight="1">
      <c r="A69" s="227"/>
      <c r="B69" s="228"/>
      <c r="C69" s="33"/>
      <c r="D69" s="236" t="str">
        <f>IF(E16="","Produit/Service 1",E16)</f>
        <v>Produit 1</v>
      </c>
      <c r="E69" s="43"/>
      <c r="F69" s="33"/>
      <c r="G69" s="61"/>
      <c r="H69" s="61"/>
      <c r="I69" s="61"/>
      <c r="J69" s="61"/>
      <c r="K69" s="61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7.25" customHeight="1">
      <c r="A70" s="227"/>
      <c r="B70" s="228"/>
      <c r="C70" s="33"/>
      <c r="D70" s="45" t="str">
        <f t="shared" ref="D70:D71" si="4">D48</f>
        <v>Quantité/Jour</v>
      </c>
      <c r="E70" s="53" t="s">
        <v>124</v>
      </c>
      <c r="F70" s="33"/>
      <c r="G70" s="67"/>
      <c r="H70" s="47">
        <v>20</v>
      </c>
      <c r="I70" s="47">
        <v>0.03</v>
      </c>
      <c r="J70" s="47">
        <v>0.03</v>
      </c>
      <c r="K70" s="47">
        <v>0.03</v>
      </c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7.25" customHeight="1">
      <c r="A71" s="227"/>
      <c r="B71" s="228"/>
      <c r="C71" s="33"/>
      <c r="D71" s="45" t="str">
        <f t="shared" si="4"/>
        <v>Prix</v>
      </c>
      <c r="E71" s="53" t="s">
        <v>124</v>
      </c>
      <c r="F71" s="33"/>
      <c r="G71" s="67"/>
      <c r="H71" s="47">
        <v>0</v>
      </c>
      <c r="I71" s="47">
        <v>0</v>
      </c>
      <c r="J71" s="47">
        <v>0</v>
      </c>
      <c r="K71" s="47">
        <v>0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7.25" customHeight="1">
      <c r="A72" s="227"/>
      <c r="B72" s="228"/>
      <c r="C72" s="33"/>
      <c r="D72" s="236" t="str">
        <f>IF(E17="","Produit/Service 2",E17)</f>
        <v>Produit 2</v>
      </c>
      <c r="E72" s="43"/>
      <c r="F72" s="33"/>
      <c r="G72" s="50"/>
      <c r="H72" s="50"/>
      <c r="I72" s="50"/>
      <c r="J72" s="50"/>
      <c r="K72" s="50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7.25" customHeight="1">
      <c r="A73" s="227"/>
      <c r="B73" s="228"/>
      <c r="C73" s="33"/>
      <c r="D73" s="45" t="str">
        <f t="shared" ref="D73:D74" si="5">D51</f>
        <v>Quantité vendue/Jour</v>
      </c>
      <c r="E73" s="53" t="s">
        <v>124</v>
      </c>
      <c r="F73" s="33"/>
      <c r="G73" s="67"/>
      <c r="H73" s="47">
        <v>0.15</v>
      </c>
      <c r="I73" s="47">
        <v>0.15</v>
      </c>
      <c r="J73" s="47">
        <v>0.15</v>
      </c>
      <c r="K73" s="47">
        <v>0.15</v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7.25" customHeight="1">
      <c r="A74" s="227"/>
      <c r="B74" s="228"/>
      <c r="C74" s="33"/>
      <c r="D74" s="45" t="str">
        <f t="shared" si="5"/>
        <v>Prix</v>
      </c>
      <c r="E74" s="53" t="s">
        <v>124</v>
      </c>
      <c r="F74" s="33"/>
      <c r="G74" s="67"/>
      <c r="H74" s="47">
        <v>0</v>
      </c>
      <c r="I74" s="47">
        <v>0</v>
      </c>
      <c r="J74" s="47">
        <v>0</v>
      </c>
      <c r="K74" s="47">
        <v>0</v>
      </c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7.25" customHeight="1">
      <c r="A75" s="227"/>
      <c r="B75" s="228"/>
      <c r="C75" s="33"/>
      <c r="D75" s="236" t="str">
        <f>IF(E18="","Produit/Service 3",E18)</f>
        <v>Produit 3</v>
      </c>
      <c r="E75" s="43"/>
      <c r="F75" s="33"/>
      <c r="G75" s="50"/>
      <c r="H75" s="50"/>
      <c r="I75" s="50"/>
      <c r="J75" s="50"/>
      <c r="K75" s="50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7.25" customHeight="1">
      <c r="A76" s="227"/>
      <c r="B76" s="228"/>
      <c r="C76" s="33"/>
      <c r="D76" s="45" t="str">
        <f t="shared" ref="D76:D77" si="6">D54</f>
        <v>Quantité vendue/Jour</v>
      </c>
      <c r="E76" s="53" t="s">
        <v>124</v>
      </c>
      <c r="F76" s="33"/>
      <c r="G76" s="67"/>
      <c r="H76" s="47">
        <v>0.1</v>
      </c>
      <c r="I76" s="47">
        <v>0.1</v>
      </c>
      <c r="J76" s="47">
        <v>0.1</v>
      </c>
      <c r="K76" s="47">
        <v>0.1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7.25" customHeight="1">
      <c r="A77" s="227"/>
      <c r="B77" s="228"/>
      <c r="C77" s="33"/>
      <c r="D77" s="45" t="str">
        <f t="shared" si="6"/>
        <v>Prix</v>
      </c>
      <c r="E77" s="53" t="s">
        <v>124</v>
      </c>
      <c r="F77" s="33"/>
      <c r="G77" s="67"/>
      <c r="H77" s="47">
        <v>0</v>
      </c>
      <c r="I77" s="47">
        <v>0</v>
      </c>
      <c r="J77" s="47">
        <v>0</v>
      </c>
      <c r="K77" s="47">
        <v>0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7.25" customHeight="1">
      <c r="A78" s="227"/>
      <c r="B78" s="228"/>
      <c r="C78" s="33"/>
      <c r="D78" s="236" t="str">
        <f>IF(E23="","Produit/Service 3",E19)</f>
        <v>Produit 4</v>
      </c>
      <c r="E78" s="43"/>
      <c r="F78" s="33"/>
      <c r="G78" s="50"/>
      <c r="H78" s="50"/>
      <c r="I78" s="50"/>
      <c r="J78" s="50"/>
      <c r="K78" s="50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7.25" customHeight="1">
      <c r="A79" s="227"/>
      <c r="B79" s="228"/>
      <c r="C79" s="33"/>
      <c r="D79" s="45" t="str">
        <f t="shared" ref="D79:D80" si="7">D57</f>
        <v>Quantité vendue/Jour</v>
      </c>
      <c r="E79" s="53" t="s">
        <v>124</v>
      </c>
      <c r="F79" s="33"/>
      <c r="G79" s="67"/>
      <c r="H79" s="47">
        <v>0.2</v>
      </c>
      <c r="I79" s="47">
        <v>0.2</v>
      </c>
      <c r="J79" s="47">
        <v>0.2</v>
      </c>
      <c r="K79" s="47">
        <v>0.2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7.25" customHeight="1">
      <c r="A80" s="227"/>
      <c r="B80" s="228"/>
      <c r="C80" s="33"/>
      <c r="D80" s="45" t="str">
        <f t="shared" si="7"/>
        <v>Prix</v>
      </c>
      <c r="E80" s="53" t="s">
        <v>124</v>
      </c>
      <c r="F80" s="33"/>
      <c r="G80" s="67"/>
      <c r="H80" s="47">
        <v>0</v>
      </c>
      <c r="I80" s="47">
        <v>0</v>
      </c>
      <c r="J80" s="47">
        <v>0</v>
      </c>
      <c r="K80" s="47">
        <v>0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7.25" customHeight="1">
      <c r="A81" s="227"/>
      <c r="B81" s="228"/>
      <c r="C81" s="33"/>
      <c r="D81" s="236" t="str">
        <f>IF(E35="","Produit/Service 3",E20)</f>
        <v>Produit 5</v>
      </c>
      <c r="E81" s="43"/>
      <c r="F81" s="33"/>
      <c r="G81" s="50"/>
      <c r="H81" s="50"/>
      <c r="I81" s="50"/>
      <c r="J81" s="50"/>
      <c r="K81" s="50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7.25" customHeight="1">
      <c r="A82" s="227"/>
      <c r="B82" s="228"/>
      <c r="C82" s="33"/>
      <c r="D82" s="45" t="str">
        <f t="shared" ref="D82:D83" si="8">D60</f>
        <v>Quantité vendue/Jour</v>
      </c>
      <c r="E82" s="53" t="s">
        <v>124</v>
      </c>
      <c r="F82" s="33"/>
      <c r="G82" s="67"/>
      <c r="H82" s="47">
        <v>0.2</v>
      </c>
      <c r="I82" s="47">
        <v>0.2</v>
      </c>
      <c r="J82" s="47">
        <v>0.2</v>
      </c>
      <c r="K82" s="47">
        <v>0.2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7.25" customHeight="1">
      <c r="A83" s="227"/>
      <c r="B83" s="228"/>
      <c r="C83" s="33"/>
      <c r="D83" s="45" t="str">
        <f t="shared" si="8"/>
        <v>Prix</v>
      </c>
      <c r="E83" s="53" t="s">
        <v>124</v>
      </c>
      <c r="F83" s="33"/>
      <c r="G83" s="67"/>
      <c r="H83" s="47">
        <v>0</v>
      </c>
      <c r="I83" s="47">
        <v>0</v>
      </c>
      <c r="J83" s="47">
        <v>0</v>
      </c>
      <c r="K83" s="47">
        <v>0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7.25" customHeight="1">
      <c r="A84" s="227"/>
      <c r="B84" s="228"/>
      <c r="C84" s="33"/>
      <c r="D84" s="58" t="s">
        <v>160</v>
      </c>
      <c r="E84" s="59"/>
      <c r="F84" s="60"/>
      <c r="G84" s="60"/>
      <c r="H84" s="60"/>
      <c r="I84" s="60"/>
      <c r="J84" s="60"/>
      <c r="K84" s="60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7.25" customHeight="1">
      <c r="A85" s="227"/>
      <c r="B85" s="228"/>
      <c r="C85" s="33"/>
      <c r="D85" s="62" t="s">
        <v>161</v>
      </c>
      <c r="E85" s="53" t="s">
        <v>124</v>
      </c>
      <c r="F85" s="33"/>
      <c r="G85" s="67"/>
      <c r="H85" s="47">
        <v>0</v>
      </c>
      <c r="I85" s="47">
        <v>0</v>
      </c>
      <c r="J85" s="47">
        <v>0</v>
      </c>
      <c r="K85" s="47">
        <v>0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7.25" customHeight="1">
      <c r="A86" s="227"/>
      <c r="B86" s="228"/>
      <c r="C86" s="33"/>
      <c r="D86" s="62" t="s">
        <v>162</v>
      </c>
      <c r="E86" s="53" t="s">
        <v>124</v>
      </c>
      <c r="F86" s="33"/>
      <c r="G86" s="67"/>
      <c r="H86" s="47">
        <v>0.03</v>
      </c>
      <c r="I86" s="47">
        <v>0.03</v>
      </c>
      <c r="J86" s="47">
        <v>0.03</v>
      </c>
      <c r="K86" s="47">
        <v>0.03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7.25" customHeight="1">
      <c r="A87" s="227"/>
      <c r="B87" s="228"/>
      <c r="C87" s="33"/>
      <c r="D87" s="62" t="s">
        <v>163</v>
      </c>
      <c r="E87" s="53" t="s">
        <v>124</v>
      </c>
      <c r="F87" s="33"/>
      <c r="G87" s="67"/>
      <c r="H87" s="67"/>
      <c r="I87" s="67"/>
      <c r="J87" s="67"/>
      <c r="K87" s="67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7.25" customHeight="1">
      <c r="A88" s="227"/>
      <c r="B88" s="228"/>
      <c r="C88" s="33"/>
      <c r="D88" s="68" t="str">
        <f t="shared" ref="D88:D92" si="9">J16</f>
        <v>Matière A</v>
      </c>
      <c r="E88" s="53" t="s">
        <v>124</v>
      </c>
      <c r="F88" s="33"/>
      <c r="G88" s="67"/>
      <c r="H88" s="47">
        <v>0.03</v>
      </c>
      <c r="I88" s="47">
        <v>0.03</v>
      </c>
      <c r="J88" s="47">
        <v>0.03</v>
      </c>
      <c r="K88" s="47">
        <v>0.03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7.25" customHeight="1">
      <c r="A89" s="227"/>
      <c r="B89" s="228"/>
      <c r="C89" s="33"/>
      <c r="D89" s="68" t="str">
        <f t="shared" si="9"/>
        <v>Matière B</v>
      </c>
      <c r="E89" s="53" t="s">
        <v>124</v>
      </c>
      <c r="F89" s="33"/>
      <c r="G89" s="67"/>
      <c r="H89" s="47">
        <v>0</v>
      </c>
      <c r="I89" s="47">
        <v>0</v>
      </c>
      <c r="J89" s="47">
        <v>0</v>
      </c>
      <c r="K89" s="47">
        <v>0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7.25" customHeight="1">
      <c r="A90" s="227"/>
      <c r="B90" s="228"/>
      <c r="C90" s="33"/>
      <c r="D90" s="68" t="str">
        <f t="shared" si="9"/>
        <v>Matière C</v>
      </c>
      <c r="E90" s="53" t="s">
        <v>124</v>
      </c>
      <c r="F90" s="33"/>
      <c r="G90" s="67"/>
      <c r="H90" s="47">
        <v>0</v>
      </c>
      <c r="I90" s="47">
        <v>0</v>
      </c>
      <c r="J90" s="47">
        <v>0</v>
      </c>
      <c r="K90" s="47">
        <v>0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7.25" customHeight="1">
      <c r="A91" s="227"/>
      <c r="B91" s="228"/>
      <c r="C91" s="33"/>
      <c r="D91" s="68" t="str">
        <f t="shared" si="9"/>
        <v>Matière D</v>
      </c>
      <c r="E91" s="53" t="s">
        <v>124</v>
      </c>
      <c r="F91" s="33"/>
      <c r="G91" s="67"/>
      <c r="H91" s="47">
        <v>0</v>
      </c>
      <c r="I91" s="47">
        <v>0</v>
      </c>
      <c r="J91" s="47">
        <v>0</v>
      </c>
      <c r="K91" s="47">
        <v>0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7.25" customHeight="1">
      <c r="A92" s="227"/>
      <c r="B92" s="228"/>
      <c r="C92" s="33"/>
      <c r="D92" s="68" t="str">
        <f t="shared" si="9"/>
        <v>Matière E</v>
      </c>
      <c r="E92" s="53" t="s">
        <v>124</v>
      </c>
      <c r="F92" s="33"/>
      <c r="G92" s="67"/>
      <c r="H92" s="47">
        <v>0</v>
      </c>
      <c r="I92" s="47">
        <v>0</v>
      </c>
      <c r="J92" s="47">
        <v>0</v>
      </c>
      <c r="K92" s="47">
        <v>0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7.25" customHeight="1">
      <c r="A93" s="227"/>
      <c r="B93" s="228"/>
      <c r="C93" s="33"/>
      <c r="D93" s="62" t="s">
        <v>164</v>
      </c>
      <c r="E93" s="53" t="s">
        <v>124</v>
      </c>
      <c r="F93" s="33"/>
      <c r="G93" s="67"/>
      <c r="H93" s="67"/>
      <c r="I93" s="67"/>
      <c r="J93" s="67"/>
      <c r="K93" s="67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7.25" customHeight="1">
      <c r="A94" s="227"/>
      <c r="B94" s="228"/>
      <c r="C94" s="33"/>
      <c r="D94" s="68" t="s">
        <v>165</v>
      </c>
      <c r="E94" s="53" t="s">
        <v>124</v>
      </c>
      <c r="F94" s="33"/>
      <c r="G94" s="67"/>
      <c r="H94" s="47">
        <v>0.03</v>
      </c>
      <c r="I94" s="47">
        <v>0.03</v>
      </c>
      <c r="J94" s="47">
        <v>0.03</v>
      </c>
      <c r="K94" s="47">
        <v>0.03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7.25" customHeight="1">
      <c r="A95" s="227"/>
      <c r="B95" s="228"/>
      <c r="C95" s="33"/>
      <c r="D95" s="68" t="s">
        <v>166</v>
      </c>
      <c r="E95" s="53" t="s">
        <v>124</v>
      </c>
      <c r="F95" s="33"/>
      <c r="G95" s="67"/>
      <c r="H95" s="47">
        <v>0.03</v>
      </c>
      <c r="I95" s="47">
        <v>0.03</v>
      </c>
      <c r="J95" s="47">
        <v>0.03</v>
      </c>
      <c r="K95" s="47">
        <v>0.03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7.25" customHeight="1">
      <c r="A96" s="227"/>
      <c r="B96" s="228"/>
      <c r="C96" s="33"/>
      <c r="D96" s="68" t="s">
        <v>167</v>
      </c>
      <c r="E96" s="53" t="s">
        <v>124</v>
      </c>
      <c r="F96" s="33"/>
      <c r="G96" s="67"/>
      <c r="H96" s="47">
        <v>0.03</v>
      </c>
      <c r="I96" s="47">
        <v>0.03</v>
      </c>
      <c r="J96" s="47">
        <v>0.03</v>
      </c>
      <c r="K96" s="47">
        <v>0.03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7.25" customHeight="1">
      <c r="A97" s="227"/>
      <c r="B97" s="228"/>
      <c r="C97" s="33"/>
      <c r="D97" s="68" t="s">
        <v>168</v>
      </c>
      <c r="E97" s="53" t="s">
        <v>124</v>
      </c>
      <c r="F97" s="33"/>
      <c r="G97" s="67"/>
      <c r="H97" s="47">
        <v>0.03</v>
      </c>
      <c r="I97" s="47">
        <v>0.03</v>
      </c>
      <c r="J97" s="47">
        <v>0.03</v>
      </c>
      <c r="K97" s="47">
        <v>0.03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7.25" customHeight="1">
      <c r="A98" s="227"/>
      <c r="B98" s="228"/>
      <c r="C98" s="33"/>
      <c r="D98" s="68" t="s">
        <v>169</v>
      </c>
      <c r="E98" s="53" t="s">
        <v>124</v>
      </c>
      <c r="F98" s="33"/>
      <c r="G98" s="67"/>
      <c r="H98" s="47">
        <v>0.03</v>
      </c>
      <c r="I98" s="47">
        <v>0.03</v>
      </c>
      <c r="J98" s="47">
        <v>0.03</v>
      </c>
      <c r="K98" s="47">
        <v>0.03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7.25" customHeight="1">
      <c r="A99" s="227"/>
      <c r="B99" s="228"/>
      <c r="C99" s="33"/>
      <c r="D99" s="68" t="s">
        <v>170</v>
      </c>
      <c r="E99" s="53" t="s">
        <v>124</v>
      </c>
      <c r="F99" s="33"/>
      <c r="G99" s="67"/>
      <c r="H99" s="47">
        <v>0.02</v>
      </c>
      <c r="I99" s="47">
        <v>0.02</v>
      </c>
      <c r="J99" s="47">
        <v>0.02</v>
      </c>
      <c r="K99" s="47">
        <v>0.02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7.25" customHeight="1">
      <c r="A100" s="227"/>
      <c r="B100" s="228"/>
      <c r="C100" s="33"/>
      <c r="D100" s="68" t="s">
        <v>171</v>
      </c>
      <c r="E100" s="53" t="s">
        <v>124</v>
      </c>
      <c r="F100" s="33"/>
      <c r="G100" s="67"/>
      <c r="H100" s="47">
        <v>0.01</v>
      </c>
      <c r="I100" s="47">
        <v>0.01</v>
      </c>
      <c r="J100" s="47">
        <v>0.01</v>
      </c>
      <c r="K100" s="47">
        <v>0.01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7.25" customHeight="1">
      <c r="A101" s="227"/>
      <c r="B101" s="228"/>
      <c r="C101" s="33"/>
      <c r="D101" s="68" t="s">
        <v>172</v>
      </c>
      <c r="E101" s="53" t="s">
        <v>124</v>
      </c>
      <c r="F101" s="33"/>
      <c r="G101" s="67"/>
      <c r="H101" s="47">
        <v>0.01</v>
      </c>
      <c r="I101" s="47">
        <v>0.01</v>
      </c>
      <c r="J101" s="47">
        <v>0.01</v>
      </c>
      <c r="K101" s="47">
        <v>0.01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7.25" customHeight="1">
      <c r="A102" s="227"/>
      <c r="B102" s="228"/>
      <c r="C102" s="33"/>
      <c r="D102" s="68" t="s">
        <v>173</v>
      </c>
      <c r="E102" s="53" t="s">
        <v>124</v>
      </c>
      <c r="F102" s="33"/>
      <c r="G102" s="67"/>
      <c r="H102" s="47">
        <v>0</v>
      </c>
      <c r="I102" s="47">
        <v>0</v>
      </c>
      <c r="J102" s="47">
        <v>0</v>
      </c>
      <c r="K102" s="47">
        <v>0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7.25" customHeight="1">
      <c r="A103" s="227"/>
      <c r="B103" s="228"/>
      <c r="C103" s="33"/>
      <c r="D103" s="62" t="s">
        <v>174</v>
      </c>
      <c r="E103" s="53" t="s">
        <v>124</v>
      </c>
      <c r="F103" s="33"/>
      <c r="G103" s="67"/>
      <c r="H103" s="47">
        <v>0.03</v>
      </c>
      <c r="I103" s="47">
        <v>0.03</v>
      </c>
      <c r="J103" s="47">
        <v>0.03</v>
      </c>
      <c r="K103" s="47">
        <v>0.03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7.25" customHeight="1">
      <c r="A104" s="227"/>
      <c r="B104" s="228"/>
      <c r="C104" s="33"/>
      <c r="D104" s="62" t="s">
        <v>175</v>
      </c>
      <c r="E104" s="53" t="s">
        <v>124</v>
      </c>
      <c r="F104" s="33"/>
      <c r="G104" s="67"/>
      <c r="H104" s="47">
        <v>0.03</v>
      </c>
      <c r="I104" s="47">
        <v>0.03</v>
      </c>
      <c r="J104" s="47">
        <v>0.03</v>
      </c>
      <c r="K104" s="47">
        <v>0.03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7.25" customHeight="1">
      <c r="A105" s="227"/>
      <c r="B105" s="228"/>
      <c r="C105" s="33"/>
      <c r="D105" s="62" t="s">
        <v>176</v>
      </c>
      <c r="E105" s="53" t="s">
        <v>124</v>
      </c>
      <c r="F105" s="33"/>
      <c r="G105" s="67"/>
      <c r="H105" s="47">
        <v>0</v>
      </c>
      <c r="I105" s="47">
        <v>0</v>
      </c>
      <c r="J105" s="47">
        <v>0</v>
      </c>
      <c r="K105" s="47">
        <v>0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7.25" customHeight="1">
      <c r="A106" s="227"/>
      <c r="B106" s="228"/>
      <c r="C106" s="33"/>
      <c r="D106" s="62" t="s">
        <v>177</v>
      </c>
      <c r="E106" s="53" t="s">
        <v>124</v>
      </c>
      <c r="F106" s="33"/>
      <c r="G106" s="67"/>
      <c r="H106" s="47">
        <v>0.02</v>
      </c>
      <c r="I106" s="47">
        <v>0.02</v>
      </c>
      <c r="J106" s="47">
        <v>0.02</v>
      </c>
      <c r="K106" s="47">
        <v>0.02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7.25" customHeight="1">
      <c r="A107" s="227"/>
      <c r="B107" s="228"/>
      <c r="C107" s="33"/>
      <c r="D107" s="62" t="s">
        <v>178</v>
      </c>
      <c r="E107" s="53" t="s">
        <v>124</v>
      </c>
      <c r="F107" s="33"/>
      <c r="G107" s="67"/>
      <c r="H107" s="47">
        <v>0.02</v>
      </c>
      <c r="I107" s="47">
        <v>0.02</v>
      </c>
      <c r="J107" s="47">
        <v>0.02</v>
      </c>
      <c r="K107" s="47">
        <v>0.02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7.25" customHeight="1">
      <c r="A108" s="227"/>
      <c r="B108" s="228"/>
      <c r="C108" s="33"/>
      <c r="D108" s="69"/>
      <c r="E108" s="4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7.25" customHeight="1">
      <c r="A109" s="227"/>
      <c r="B109" s="228"/>
      <c r="C109" s="33"/>
      <c r="D109" s="33"/>
      <c r="E109" s="4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7.25" customHeight="1">
      <c r="A110" s="227"/>
      <c r="B110" s="228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" customHeight="1">
      <c r="A111" s="227"/>
      <c r="B111" s="228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" customHeight="1">
      <c r="A112" s="227"/>
      <c r="B112" s="228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" customHeight="1">
      <c r="A113" s="227"/>
      <c r="B113" s="228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" customHeight="1">
      <c r="A114" s="227"/>
      <c r="B114" s="228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" customHeight="1">
      <c r="A115" s="227"/>
      <c r="B115" s="228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" customHeight="1">
      <c r="A116" s="227"/>
      <c r="B116" s="228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" customHeight="1">
      <c r="A117" s="227"/>
      <c r="B117" s="228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" customHeight="1">
      <c r="A118" s="227"/>
      <c r="B118" s="228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" customHeight="1">
      <c r="A119" s="227"/>
      <c r="B119" s="228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" customHeight="1">
      <c r="A120" s="227"/>
      <c r="B120" s="228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" customHeight="1">
      <c r="A121" s="227"/>
      <c r="B121" s="228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" customHeight="1">
      <c r="A122" s="227"/>
      <c r="B122" s="228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" customHeight="1">
      <c r="A123" s="227"/>
      <c r="B123" s="228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" customHeight="1">
      <c r="A124" s="227"/>
      <c r="B124" s="228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" customHeight="1">
      <c r="A125" s="227"/>
      <c r="B125" s="228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" customHeight="1">
      <c r="A126" s="227"/>
      <c r="B126" s="228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" customHeight="1">
      <c r="A127" s="227"/>
      <c r="B127" s="228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" customHeight="1">
      <c r="A128" s="227"/>
      <c r="B128" s="228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" customHeight="1">
      <c r="A129" s="227"/>
      <c r="B129" s="228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" customHeight="1">
      <c r="A130" s="227"/>
      <c r="B130" s="228"/>
      <c r="C130" s="33"/>
      <c r="D130" s="33"/>
      <c r="E130" s="43"/>
      <c r="F130" s="61"/>
      <c r="G130" s="61"/>
      <c r="H130" s="61"/>
      <c r="I130" s="61"/>
      <c r="J130" s="61"/>
      <c r="K130" s="61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7.25" customHeight="1">
      <c r="A131" s="227"/>
      <c r="B131" s="228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" customHeight="1">
      <c r="A132" s="227"/>
      <c r="B132" s="228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" customHeight="1">
      <c r="A133" s="227"/>
      <c r="B133" s="228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" customHeight="1">
      <c r="A134" s="227"/>
      <c r="B134" s="228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" customHeight="1">
      <c r="A135" s="227"/>
      <c r="B135" s="228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" customHeight="1">
      <c r="A136" s="227"/>
      <c r="B136" s="228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" customHeight="1">
      <c r="A137" s="227"/>
      <c r="B137" s="228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" customHeight="1">
      <c r="A138" s="227"/>
      <c r="B138" s="228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" customHeight="1">
      <c r="A139" s="227"/>
      <c r="B139" s="228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" customHeight="1">
      <c r="A140" s="227"/>
      <c r="B140" s="228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" customHeight="1">
      <c r="A141" s="227"/>
      <c r="B141" s="228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" customHeight="1">
      <c r="A142" s="227"/>
      <c r="B142" s="228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1"/>
      <c r="B143" s="1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1"/>
      <c r="B144" s="1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1"/>
      <c r="B145" s="1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1"/>
      <c r="B146" s="1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1"/>
      <c r="B147" s="1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1"/>
      <c r="B148" s="1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1"/>
      <c r="B149" s="1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1"/>
      <c r="B150" s="1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1"/>
      <c r="B151" s="1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1"/>
      <c r="B152" s="1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1"/>
      <c r="B153" s="1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1"/>
      <c r="B154" s="1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1"/>
      <c r="B155" s="1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1"/>
      <c r="B156" s="1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1"/>
      <c r="B157" s="1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1"/>
      <c r="B158" s="1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1"/>
      <c r="B159" s="1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1"/>
      <c r="B160" s="1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1"/>
      <c r="B161" s="1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" customHeight="1">
      <c r="A162" s="1"/>
      <c r="B162" s="1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1"/>
      <c r="B163" s="1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1"/>
      <c r="B164" s="1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1"/>
      <c r="B165" s="1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1"/>
      <c r="B166" s="1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1"/>
      <c r="B167" s="1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1"/>
      <c r="B168" s="1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1"/>
      <c r="B169" s="1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1"/>
      <c r="B170" s="1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1"/>
      <c r="B171" s="1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1"/>
      <c r="B172" s="1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1"/>
      <c r="B173" s="1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1"/>
      <c r="B174" s="1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1"/>
      <c r="B175" s="1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1"/>
      <c r="B176" s="1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1"/>
      <c r="B177" s="1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1"/>
      <c r="B178" s="1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1"/>
      <c r="B179" s="1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1"/>
      <c r="B180" s="1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1"/>
      <c r="B181" s="1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1"/>
      <c r="B182" s="1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1"/>
      <c r="B183" s="1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1"/>
      <c r="B184" s="1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1"/>
      <c r="B185" s="1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1"/>
      <c r="B186" s="1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1"/>
      <c r="B187" s="1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1"/>
      <c r="B188" s="1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1"/>
      <c r="B189" s="1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1"/>
      <c r="B190" s="1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1"/>
      <c r="B191" s="1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1"/>
      <c r="B192" s="1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1"/>
      <c r="B193" s="1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1"/>
      <c r="B194" s="1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1"/>
      <c r="B195" s="1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1"/>
      <c r="B196" s="1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1"/>
      <c r="B197" s="1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1"/>
      <c r="B198" s="1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1"/>
      <c r="B199" s="1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1"/>
      <c r="B200" s="1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1"/>
      <c r="B201" s="1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1"/>
      <c r="B202" s="1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1"/>
      <c r="B203" s="1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1"/>
      <c r="B204" s="1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1"/>
      <c r="B205" s="1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1"/>
      <c r="B206" s="1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1"/>
      <c r="B207" s="1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1"/>
      <c r="B208" s="1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1"/>
      <c r="B209" s="1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1"/>
      <c r="B210" s="1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1"/>
      <c r="B211" s="1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1"/>
      <c r="B212" s="1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1"/>
      <c r="B213" s="1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1"/>
      <c r="B214" s="1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1"/>
      <c r="B215" s="1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1"/>
      <c r="B216" s="1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1"/>
      <c r="B217" s="1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1"/>
      <c r="B218" s="1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" customHeight="1">
      <c r="A219" s="1"/>
      <c r="B219" s="1"/>
      <c r="C219" s="33"/>
      <c r="D219" s="33"/>
      <c r="E219" s="33"/>
      <c r="F219" s="70"/>
      <c r="G219" s="43"/>
      <c r="H219" s="70"/>
      <c r="I219" s="70"/>
      <c r="J219" s="70"/>
      <c r="K219" s="70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1"/>
      <c r="B220" s="1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1"/>
      <c r="B221" s="1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1"/>
      <c r="B222" s="1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1"/>
      <c r="B223" s="1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1"/>
      <c r="B224" s="1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1"/>
      <c r="B225" s="1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1"/>
      <c r="B226" s="1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1"/>
      <c r="B227" s="1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1"/>
      <c r="B228" s="1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1"/>
      <c r="B229" s="1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1"/>
      <c r="B230" s="1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1"/>
      <c r="B231" s="1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1"/>
      <c r="B232" s="1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1"/>
      <c r="B233" s="1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1"/>
      <c r="B234" s="1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1"/>
      <c r="B235" s="1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>
      <c r="A236" s="1"/>
      <c r="B236" s="1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>
      <c r="A237" s="1"/>
      <c r="B237" s="1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>
      <c r="A238" s="1"/>
      <c r="B238" s="1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>
      <c r="A239" s="1"/>
      <c r="B239" s="1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>
      <c r="A240" s="1"/>
      <c r="B240" s="1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>
      <c r="A241" s="1"/>
      <c r="B241" s="1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>
      <c r="A242" s="1"/>
      <c r="B242" s="1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>
      <c r="A243" s="1"/>
      <c r="B243" s="1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>
      <c r="A244" s="1"/>
      <c r="B244" s="1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>
      <c r="A245" s="1"/>
      <c r="B245" s="1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>
      <c r="A246" s="1"/>
      <c r="B246" s="1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>
      <c r="A247" s="1"/>
      <c r="B247" s="1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>
      <c r="A248" s="1"/>
      <c r="B248" s="1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>
      <c r="A249" s="1"/>
      <c r="B249" s="1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>
      <c r="A250" s="1"/>
      <c r="B250" s="1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>
      <c r="A251" s="1"/>
      <c r="B251" s="1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>
      <c r="A252" s="1"/>
      <c r="B252" s="1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>
      <c r="A253" s="1"/>
      <c r="B253" s="1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>
      <c r="A254" s="1"/>
      <c r="B254" s="1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>
      <c r="A255" s="1"/>
      <c r="B255" s="1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>
      <c r="A256" s="1"/>
      <c r="B256" s="1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>
      <c r="A257" s="1"/>
      <c r="B257" s="1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>
      <c r="A258" s="1"/>
      <c r="B258" s="1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>
      <c r="A259" s="1"/>
      <c r="B259" s="1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>
      <c r="A260" s="1"/>
      <c r="B260" s="1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>
      <c r="A261" s="1"/>
      <c r="B261" s="1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>
      <c r="A262" s="1"/>
      <c r="B262" s="1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>
      <c r="A263" s="1"/>
      <c r="B263" s="1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>
      <c r="A264" s="1"/>
      <c r="B264" s="1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>
      <c r="A265" s="1"/>
      <c r="B265" s="1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>
      <c r="A266" s="1"/>
      <c r="B266" s="1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>
      <c r="A267" s="1"/>
      <c r="B267" s="1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>
      <c r="A268" s="1"/>
      <c r="B268" s="1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>
      <c r="A269" s="1"/>
      <c r="B269" s="1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>
      <c r="A270" s="1"/>
      <c r="B270" s="1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>
      <c r="A271" s="1"/>
      <c r="B271" s="1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>
      <c r="A272" s="1"/>
      <c r="B272" s="1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>
      <c r="A273" s="1"/>
      <c r="B273" s="1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>
      <c r="A274" s="1"/>
      <c r="B274" s="1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>
      <c r="A275" s="1"/>
      <c r="B275" s="1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>
      <c r="A276" s="1"/>
      <c r="B276" s="1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>
      <c r="A277" s="1"/>
      <c r="B277" s="1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>
      <c r="A278" s="1"/>
      <c r="B278" s="1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>
      <c r="A279" s="1"/>
      <c r="B279" s="1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>
      <c r="A280" s="1"/>
      <c r="B280" s="1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>
      <c r="A281" s="1"/>
      <c r="B281" s="1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>
      <c r="A282" s="1"/>
      <c r="B282" s="1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>
      <c r="A283" s="1"/>
      <c r="B283" s="1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>
      <c r="A284" s="1"/>
      <c r="B284" s="1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>
      <c r="A285" s="1"/>
      <c r="B285" s="1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.75" customHeight="1">
      <c r="A286" s="1"/>
      <c r="B286" s="1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.75" customHeight="1">
      <c r="A287" s="1"/>
      <c r="B287" s="1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.75" customHeight="1">
      <c r="A288" s="1"/>
      <c r="B288" s="1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.75" customHeight="1">
      <c r="A289" s="1"/>
      <c r="B289" s="1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.75" customHeight="1">
      <c r="A290" s="1"/>
      <c r="B290" s="1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.75" customHeight="1">
      <c r="A291" s="1"/>
      <c r="B291" s="1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.75" customHeight="1">
      <c r="A292" s="1"/>
      <c r="B292" s="1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.75" customHeight="1">
      <c r="A293" s="1"/>
      <c r="B293" s="1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.75" customHeight="1">
      <c r="A294" s="1"/>
      <c r="B294" s="1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5.75" customHeight="1">
      <c r="A295" s="1"/>
      <c r="B295" s="1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.75" customHeight="1">
      <c r="A296" s="1"/>
      <c r="B296" s="1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.75" customHeight="1">
      <c r="A297" s="1"/>
      <c r="B297" s="1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.75" customHeight="1">
      <c r="A298" s="1"/>
      <c r="B298" s="1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.75" customHeight="1">
      <c r="A299" s="1"/>
      <c r="B299" s="1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.75" customHeight="1">
      <c r="A300" s="1"/>
      <c r="B300" s="1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.75" customHeight="1">
      <c r="A301" s="1"/>
      <c r="B301" s="1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.75" customHeight="1">
      <c r="A302" s="1"/>
      <c r="B302" s="1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.75" customHeight="1">
      <c r="A303" s="1"/>
      <c r="B303" s="1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" customHeight="1">
      <c r="A304" s="1"/>
      <c r="B304" s="1"/>
      <c r="C304" s="33"/>
      <c r="D304" s="33"/>
      <c r="E304" s="43"/>
      <c r="F304" s="70"/>
      <c r="G304" s="70"/>
      <c r="H304" s="70"/>
      <c r="I304" s="70"/>
      <c r="J304" s="70"/>
      <c r="K304" s="70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.75" customHeight="1">
      <c r="A305" s="1"/>
      <c r="B305" s="1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.75" customHeight="1">
      <c r="A306" s="1"/>
      <c r="B306" s="1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.75" customHeight="1">
      <c r="A307" s="1"/>
      <c r="B307" s="1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.7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5.7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5.7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5.7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5.7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5.7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5.7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5.7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5.7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5.7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5.7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5.7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5.7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3">
    <mergeCell ref="D2:G4"/>
    <mergeCell ref="H2:K2"/>
    <mergeCell ref="H3:K3"/>
    <mergeCell ref="E16:G16"/>
    <mergeCell ref="J16:L16"/>
    <mergeCell ref="J17:L17"/>
    <mergeCell ref="J18:L18"/>
    <mergeCell ref="E19:G19"/>
    <mergeCell ref="J19:L19"/>
    <mergeCell ref="E20:G20"/>
    <mergeCell ref="J20:L20"/>
    <mergeCell ref="E17:G17"/>
    <mergeCell ref="E18:G18"/>
  </mergeCells>
  <dataValidations count="1">
    <dataValidation type="list" allowBlank="1" showErrorMessage="1" sqref="E11" xr:uid="{00000000-0002-0000-0200-000000000000}">
      <formula1>"Diourbel,Kaolack,Tamba,Kédougou,Ziguinchor,Kolda,Sédhiou,Saint-Louis,Louga,Matam,Kaffrine,Dakar,Fatick,Thies"</formula1>
    </dataValidation>
  </dataValidations>
  <hyperlinks>
    <hyperlink ref="D5" location="Sommaire!A1" display="Sommaire" xr:uid="{00000000-0004-0000-0200-000000000000}"/>
  </hyperlinks>
  <pageMargins left="0" right="0" top="0" bottom="0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A1:AM1016"/>
  <sheetViews>
    <sheetView topLeftCell="A22" workbookViewId="0">
      <selection activeCell="B20" sqref="B20"/>
    </sheetView>
  </sheetViews>
  <sheetFormatPr defaultColWidth="14.42578125" defaultRowHeight="15" customHeight="1"/>
  <cols>
    <col min="1" max="1" width="31.85546875" customWidth="1"/>
    <col min="2" max="2" width="27.85546875" customWidth="1"/>
    <col min="3" max="4" width="12.140625" customWidth="1"/>
    <col min="5" max="5" width="36.85546875" customWidth="1"/>
    <col min="6" max="6" width="23.42578125" customWidth="1"/>
    <col min="7" max="7" width="9" customWidth="1"/>
    <col min="8" max="8" width="22" customWidth="1"/>
    <col min="9" max="39" width="12.140625" customWidth="1"/>
  </cols>
  <sheetData>
    <row r="1" spans="1:39" ht="12.75" customHeight="1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</row>
    <row r="2" spans="1:39" ht="12.75" customHeight="1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</row>
    <row r="3" spans="1:39" ht="12.75" customHeight="1">
      <c r="A3" s="378" t="s">
        <v>179</v>
      </c>
      <c r="B3" s="346"/>
      <c r="C3" s="346"/>
      <c r="D3" s="339"/>
      <c r="E3" s="378" t="s">
        <v>180</v>
      </c>
      <c r="F3" s="346"/>
      <c r="G3" s="346"/>
      <c r="H3" s="346"/>
      <c r="I3" s="346"/>
      <c r="J3" s="346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</row>
    <row r="4" spans="1:39" ht="12.75" customHeight="1">
      <c r="A4" s="346"/>
      <c r="B4" s="346"/>
      <c r="C4" s="346"/>
      <c r="D4" s="339"/>
      <c r="E4" s="346"/>
      <c r="F4" s="346"/>
      <c r="G4" s="346"/>
      <c r="H4" s="346"/>
      <c r="I4" s="346"/>
      <c r="J4" s="346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</row>
    <row r="5" spans="1:39" ht="12.75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</row>
    <row r="6" spans="1:39" ht="12.75" customHeight="1">
      <c r="A6" s="63" t="s">
        <v>181</v>
      </c>
      <c r="B6" s="63">
        <f>+Hypotheses!G5</f>
        <v>2025</v>
      </c>
      <c r="C6" s="339"/>
      <c r="D6" s="339"/>
      <c r="E6" s="71" t="s">
        <v>182</v>
      </c>
      <c r="F6" s="71" t="s">
        <v>183</v>
      </c>
      <c r="G6" s="71" t="s">
        <v>103</v>
      </c>
      <c r="H6" s="71" t="s">
        <v>184</v>
      </c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</row>
    <row r="7" spans="1:39" ht="12.75" customHeight="1">
      <c r="A7" s="63" t="s">
        <v>185</v>
      </c>
      <c r="B7" s="237">
        <v>0</v>
      </c>
      <c r="C7" s="72" t="s">
        <v>104</v>
      </c>
      <c r="D7" s="72"/>
      <c r="E7" s="63" t="s">
        <v>186</v>
      </c>
      <c r="F7" s="237">
        <v>2000000</v>
      </c>
      <c r="G7" s="63" t="s">
        <v>104</v>
      </c>
      <c r="H7" s="63">
        <f>F7*Hypotheses!F26</f>
        <v>24000000</v>
      </c>
      <c r="I7" s="339"/>
      <c r="J7" s="339"/>
      <c r="K7" s="339"/>
      <c r="L7" s="339"/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</row>
    <row r="8" spans="1:39" ht="12.75" customHeight="1">
      <c r="A8" s="63" t="s">
        <v>187</v>
      </c>
      <c r="B8" s="237">
        <v>0</v>
      </c>
      <c r="C8" s="72" t="s">
        <v>104</v>
      </c>
      <c r="D8" s="72"/>
      <c r="E8" s="63" t="s">
        <v>188</v>
      </c>
      <c r="F8" s="237">
        <v>0</v>
      </c>
      <c r="G8" s="63" t="s">
        <v>104</v>
      </c>
      <c r="H8" s="63">
        <f>F8*Hypotheses!F27</f>
        <v>0</v>
      </c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</row>
    <row r="9" spans="1:39" ht="12.75" customHeight="1">
      <c r="A9" s="63" t="s">
        <v>189</v>
      </c>
      <c r="B9" s="237">
        <v>0</v>
      </c>
      <c r="C9" s="72" t="s">
        <v>104</v>
      </c>
      <c r="D9" s="72"/>
      <c r="E9" s="63" t="s">
        <v>190</v>
      </c>
      <c r="F9" s="237">
        <v>0</v>
      </c>
      <c r="G9" s="63" t="s">
        <v>104</v>
      </c>
      <c r="H9" s="63">
        <f>F9*Hypotheses!F28</f>
        <v>0</v>
      </c>
      <c r="I9" s="339"/>
      <c r="J9" s="339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</row>
    <row r="10" spans="1:39" ht="12.75" customHeight="1">
      <c r="A10" s="63" t="s">
        <v>191</v>
      </c>
      <c r="B10" s="237">
        <v>0</v>
      </c>
      <c r="C10" s="72" t="s">
        <v>104</v>
      </c>
      <c r="D10" s="73"/>
      <c r="E10" s="63" t="s">
        <v>192</v>
      </c>
      <c r="F10" s="237">
        <v>0</v>
      </c>
      <c r="G10" s="63" t="s">
        <v>104</v>
      </c>
      <c r="H10" s="63">
        <f>F10*Hypotheses!F29</f>
        <v>0</v>
      </c>
      <c r="I10" s="73"/>
      <c r="J10" s="339"/>
      <c r="K10" s="73"/>
      <c r="L10" s="339"/>
      <c r="M10" s="339"/>
      <c r="N10" s="339"/>
      <c r="O10" s="339"/>
      <c r="P10" s="339"/>
      <c r="Q10" s="339"/>
      <c r="R10" s="339"/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39"/>
      <c r="AL10" s="339"/>
      <c r="AM10" s="339"/>
    </row>
    <row r="11" spans="1:39" ht="12.75" customHeight="1">
      <c r="A11" s="63" t="s">
        <v>193</v>
      </c>
      <c r="B11" s="237">
        <v>0</v>
      </c>
      <c r="C11" s="72" t="s">
        <v>104</v>
      </c>
      <c r="D11" s="339"/>
      <c r="E11" s="63" t="s">
        <v>194</v>
      </c>
      <c r="F11" s="237">
        <v>0</v>
      </c>
      <c r="G11" s="63" t="s">
        <v>104</v>
      </c>
      <c r="H11" s="63">
        <f>F11*Hypotheses!F30</f>
        <v>0</v>
      </c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39"/>
    </row>
    <row r="12" spans="1:39" ht="12.75" customHeight="1">
      <c r="A12" s="63" t="s">
        <v>195</v>
      </c>
      <c r="B12" s="237">
        <v>0</v>
      </c>
      <c r="C12" s="72" t="s">
        <v>104</v>
      </c>
      <c r="D12" s="339"/>
      <c r="E12" s="63" t="s">
        <v>196</v>
      </c>
      <c r="F12" s="237">
        <v>0</v>
      </c>
      <c r="G12" s="63" t="s">
        <v>104</v>
      </c>
      <c r="H12" s="63">
        <f>F12*Hypotheses!F31</f>
        <v>0</v>
      </c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</row>
    <row r="13" spans="1:39" ht="12.75" customHeight="1">
      <c r="A13" s="63" t="s">
        <v>197</v>
      </c>
      <c r="B13" s="237">
        <v>0</v>
      </c>
      <c r="C13" s="72" t="s">
        <v>104</v>
      </c>
      <c r="D13" s="339"/>
      <c r="E13" s="63" t="s">
        <v>198</v>
      </c>
      <c r="F13" s="237">
        <v>0</v>
      </c>
      <c r="G13" s="63" t="s">
        <v>104</v>
      </c>
      <c r="H13" s="63">
        <f>F13*Hypotheses!F32</f>
        <v>0</v>
      </c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</row>
    <row r="14" spans="1:39" ht="12.75" customHeight="1">
      <c r="A14" s="63" t="s">
        <v>199</v>
      </c>
      <c r="B14" s="237">
        <v>0</v>
      </c>
      <c r="C14" s="72" t="s">
        <v>104</v>
      </c>
      <c r="D14" s="339"/>
      <c r="E14" s="63" t="s">
        <v>200</v>
      </c>
      <c r="F14" s="237">
        <v>0</v>
      </c>
      <c r="G14" s="63" t="s">
        <v>104</v>
      </c>
      <c r="H14" s="63">
        <f>F14*Hypotheses!F33</f>
        <v>0</v>
      </c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39"/>
      <c r="T14" s="339"/>
      <c r="U14" s="339"/>
      <c r="V14" s="33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</row>
    <row r="15" spans="1:39" ht="12.75" customHeight="1">
      <c r="A15" s="63" t="s">
        <v>201</v>
      </c>
      <c r="B15" s="237">
        <v>0</v>
      </c>
      <c r="C15" s="72" t="s">
        <v>104</v>
      </c>
      <c r="D15" s="339"/>
      <c r="E15" s="63" t="s">
        <v>202</v>
      </c>
      <c r="F15" s="237">
        <v>0</v>
      </c>
      <c r="G15" s="63" t="s">
        <v>104</v>
      </c>
      <c r="H15" s="63">
        <f>F15*Hypotheses!F34</f>
        <v>0</v>
      </c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</row>
    <row r="16" spans="1:39" ht="12.75" customHeight="1">
      <c r="A16" s="63" t="s">
        <v>203</v>
      </c>
      <c r="B16" s="237">
        <v>0</v>
      </c>
      <c r="C16" s="72" t="s">
        <v>104</v>
      </c>
      <c r="D16" s="339"/>
      <c r="E16" s="63" t="s">
        <v>204</v>
      </c>
      <c r="F16" s="237">
        <v>0</v>
      </c>
      <c r="G16" s="63" t="s">
        <v>104</v>
      </c>
      <c r="H16" s="63">
        <f>F16*Hypotheses!F35</f>
        <v>0</v>
      </c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</row>
    <row r="17" spans="1:8" ht="12.75" customHeight="1">
      <c r="A17" s="63" t="s">
        <v>205</v>
      </c>
      <c r="B17" s="237">
        <v>0</v>
      </c>
      <c r="C17" s="72" t="s">
        <v>104</v>
      </c>
      <c r="D17" s="339"/>
      <c r="E17" s="63" t="s">
        <v>206</v>
      </c>
      <c r="F17" s="237">
        <v>0</v>
      </c>
      <c r="G17" s="63" t="s">
        <v>104</v>
      </c>
      <c r="H17" s="63">
        <f>F17*Hypotheses!F36</f>
        <v>0</v>
      </c>
    </row>
    <row r="18" spans="1:8" ht="12.75" customHeight="1">
      <c r="A18" s="63" t="s">
        <v>207</v>
      </c>
      <c r="B18" s="237">
        <v>0</v>
      </c>
      <c r="C18" s="72" t="s">
        <v>104</v>
      </c>
      <c r="D18" s="339"/>
      <c r="E18" s="63" t="s">
        <v>208</v>
      </c>
      <c r="F18" s="237">
        <v>0</v>
      </c>
      <c r="G18" s="63" t="s">
        <v>104</v>
      </c>
      <c r="H18" s="63">
        <f>F18*Hypotheses!F37</f>
        <v>0</v>
      </c>
    </row>
    <row r="19" spans="1:8" ht="27.6">
      <c r="A19" s="74"/>
      <c r="B19" s="75">
        <f>AVERAGE(B7:B18)</f>
        <v>0</v>
      </c>
      <c r="C19" s="72" t="s">
        <v>104</v>
      </c>
      <c r="D19" s="339"/>
      <c r="E19" s="339"/>
      <c r="F19" s="339"/>
      <c r="G19" s="66"/>
      <c r="H19" s="76">
        <f>SUM(H7:H18)</f>
        <v>24000000</v>
      </c>
    </row>
    <row r="20" spans="1:8" ht="12.75" customHeight="1">
      <c r="A20" s="74"/>
      <c r="B20" s="74"/>
      <c r="C20" s="74"/>
      <c r="D20" s="339"/>
      <c r="E20" s="339"/>
      <c r="F20" s="339"/>
      <c r="G20" s="66"/>
      <c r="H20" s="339"/>
    </row>
    <row r="21" spans="1:8" ht="12.75" customHeight="1">
      <c r="A21" s="74"/>
      <c r="B21" s="74"/>
      <c r="C21" s="74"/>
      <c r="D21" s="339"/>
      <c r="E21" s="339"/>
      <c r="F21" s="339"/>
      <c r="G21" s="66"/>
      <c r="H21" s="339"/>
    </row>
    <row r="22" spans="1:8" ht="12.75" customHeight="1">
      <c r="A22" s="74"/>
      <c r="B22" s="74"/>
      <c r="C22" s="74"/>
      <c r="D22" s="339"/>
      <c r="E22" s="339"/>
      <c r="F22" s="339"/>
      <c r="G22" s="66"/>
      <c r="H22" s="339"/>
    </row>
    <row r="23" spans="1:8" ht="12.75" customHeight="1">
      <c r="A23" s="74"/>
      <c r="B23" s="74"/>
      <c r="C23" s="74"/>
      <c r="D23" s="339"/>
      <c r="E23" s="339"/>
      <c r="F23" s="339"/>
      <c r="G23" s="66"/>
      <c r="H23" s="339"/>
    </row>
    <row r="24" spans="1:8" ht="12.75" customHeight="1">
      <c r="A24" s="378" t="s">
        <v>209</v>
      </c>
      <c r="B24" s="346"/>
      <c r="C24" s="346"/>
      <c r="D24" s="339"/>
      <c r="E24" s="339"/>
      <c r="F24" s="339"/>
      <c r="G24" s="66"/>
      <c r="H24" s="339"/>
    </row>
    <row r="25" spans="1:8" ht="12.75" customHeight="1">
      <c r="A25" s="346"/>
      <c r="B25" s="346"/>
      <c r="C25" s="346"/>
      <c r="D25" s="339"/>
      <c r="E25" s="339"/>
      <c r="F25" s="339"/>
      <c r="G25" s="339"/>
      <c r="H25" s="339"/>
    </row>
    <row r="26" spans="1:8" ht="12.75" customHeight="1">
      <c r="A26" s="339"/>
      <c r="B26" s="339"/>
      <c r="C26" s="339"/>
      <c r="D26" s="339"/>
      <c r="E26" s="339"/>
      <c r="F26" s="339"/>
      <c r="G26" s="339"/>
      <c r="H26" s="339"/>
    </row>
    <row r="27" spans="1:8" ht="12.75" customHeight="1">
      <c r="A27" s="63" t="s">
        <v>181</v>
      </c>
      <c r="B27" s="63">
        <f>+Hypotheses!G5</f>
        <v>2025</v>
      </c>
      <c r="C27" s="339"/>
      <c r="D27" s="339"/>
      <c r="E27" s="339"/>
      <c r="F27" s="339"/>
      <c r="G27" s="339"/>
      <c r="H27" s="339"/>
    </row>
    <row r="28" spans="1:8" ht="12.75" customHeight="1">
      <c r="A28" s="63" t="s">
        <v>185</v>
      </c>
      <c r="B28" s="237">
        <v>0</v>
      </c>
      <c r="C28" s="72" t="s">
        <v>104</v>
      </c>
      <c r="D28" s="339"/>
      <c r="E28" s="339"/>
      <c r="F28" s="339"/>
      <c r="G28" s="339"/>
      <c r="H28" s="339"/>
    </row>
    <row r="29" spans="1:8" ht="12.75" customHeight="1">
      <c r="A29" s="63" t="s">
        <v>187</v>
      </c>
      <c r="B29" s="237">
        <v>0</v>
      </c>
      <c r="C29" s="72" t="s">
        <v>104</v>
      </c>
      <c r="D29" s="339"/>
      <c r="E29" s="339"/>
      <c r="F29" s="339"/>
      <c r="G29" s="339"/>
      <c r="H29" s="339"/>
    </row>
    <row r="30" spans="1:8" ht="12.75" customHeight="1">
      <c r="A30" s="63" t="s">
        <v>189</v>
      </c>
      <c r="B30" s="237">
        <v>0</v>
      </c>
      <c r="C30" s="72" t="s">
        <v>104</v>
      </c>
      <c r="D30" s="339"/>
      <c r="E30" s="339"/>
      <c r="F30" s="339"/>
      <c r="G30" s="339"/>
      <c r="H30" s="339"/>
    </row>
    <row r="31" spans="1:8" ht="12.75" customHeight="1">
      <c r="A31" s="63" t="s">
        <v>191</v>
      </c>
      <c r="B31" s="237">
        <v>0</v>
      </c>
      <c r="C31" s="72" t="s">
        <v>104</v>
      </c>
      <c r="D31" s="339"/>
      <c r="E31" s="339"/>
      <c r="F31" s="339"/>
      <c r="G31" s="339"/>
      <c r="H31" s="339"/>
    </row>
    <row r="32" spans="1:8" ht="12.75" customHeight="1">
      <c r="A32" s="63" t="s">
        <v>193</v>
      </c>
      <c r="B32" s="237">
        <v>0</v>
      </c>
      <c r="C32" s="72" t="s">
        <v>104</v>
      </c>
      <c r="D32" s="339"/>
      <c r="E32" s="339"/>
      <c r="F32" s="339"/>
      <c r="G32" s="339"/>
      <c r="H32" s="339"/>
    </row>
    <row r="33" spans="1:7" ht="12.75" customHeight="1">
      <c r="A33" s="63" t="s">
        <v>195</v>
      </c>
      <c r="B33" s="237">
        <v>0</v>
      </c>
      <c r="C33" s="72" t="s">
        <v>104</v>
      </c>
      <c r="D33" s="339"/>
      <c r="E33" s="339"/>
      <c r="F33" s="339"/>
      <c r="G33" s="339"/>
    </row>
    <row r="34" spans="1:7" ht="12.75" customHeight="1">
      <c r="A34" s="63" t="s">
        <v>197</v>
      </c>
      <c r="B34" s="237">
        <v>0</v>
      </c>
      <c r="C34" s="72" t="s">
        <v>104</v>
      </c>
      <c r="D34" s="339"/>
      <c r="E34" s="339"/>
      <c r="F34" s="339"/>
      <c r="G34" s="339"/>
    </row>
    <row r="35" spans="1:7" ht="12.75" customHeight="1">
      <c r="A35" s="63" t="s">
        <v>199</v>
      </c>
      <c r="B35" s="237">
        <v>0</v>
      </c>
      <c r="C35" s="72" t="s">
        <v>104</v>
      </c>
      <c r="D35" s="339"/>
      <c r="E35" s="339"/>
      <c r="F35" s="339"/>
      <c r="G35" s="339"/>
    </row>
    <row r="36" spans="1:7" ht="12.75" customHeight="1">
      <c r="A36" s="63" t="s">
        <v>201</v>
      </c>
      <c r="B36" s="237">
        <v>0</v>
      </c>
      <c r="C36" s="72" t="s">
        <v>104</v>
      </c>
      <c r="D36" s="339"/>
      <c r="E36" s="339"/>
      <c r="F36" s="339"/>
      <c r="G36" s="339"/>
    </row>
    <row r="37" spans="1:7" ht="12.75" customHeight="1">
      <c r="A37" s="63" t="s">
        <v>203</v>
      </c>
      <c r="B37" s="237">
        <v>0</v>
      </c>
      <c r="C37" s="72" t="s">
        <v>104</v>
      </c>
      <c r="D37" s="339"/>
      <c r="E37" s="339"/>
      <c r="F37" s="339"/>
      <c r="G37" s="339"/>
    </row>
    <row r="38" spans="1:7" ht="12.75" customHeight="1">
      <c r="A38" s="63" t="s">
        <v>205</v>
      </c>
      <c r="B38" s="237">
        <v>0</v>
      </c>
      <c r="C38" s="72" t="s">
        <v>104</v>
      </c>
      <c r="D38" s="339"/>
      <c r="E38" s="339"/>
      <c r="F38" s="339"/>
      <c r="G38" s="339"/>
    </row>
    <row r="39" spans="1:7" ht="12.75" customHeight="1">
      <c r="A39" s="63" t="s">
        <v>207</v>
      </c>
      <c r="B39" s="237">
        <v>0</v>
      </c>
      <c r="C39" s="72" t="s">
        <v>104</v>
      </c>
      <c r="D39" s="339"/>
      <c r="E39" s="339"/>
      <c r="F39" s="339"/>
      <c r="G39" s="339"/>
    </row>
    <row r="40" spans="1:7" ht="12.75" customHeight="1">
      <c r="A40" s="74"/>
      <c r="B40" s="75">
        <f>AVERAGE(B28:B39)</f>
        <v>0</v>
      </c>
      <c r="C40" s="72" t="s">
        <v>104</v>
      </c>
      <c r="D40" s="339"/>
      <c r="E40" s="339"/>
      <c r="F40" s="339"/>
      <c r="G40" s="339"/>
    </row>
    <row r="41" spans="1:7" ht="12.75" customHeight="1">
      <c r="A41" s="339"/>
      <c r="B41" s="339"/>
      <c r="C41" s="339"/>
      <c r="D41" s="339"/>
      <c r="E41" s="339"/>
      <c r="F41" s="339"/>
      <c r="G41" s="339"/>
    </row>
    <row r="42" spans="1:7" ht="12.75" customHeight="1">
      <c r="A42" s="339"/>
      <c r="B42" s="339"/>
      <c r="C42" s="339"/>
      <c r="D42" s="339"/>
      <c r="E42" s="339"/>
      <c r="F42" s="339"/>
      <c r="G42" s="339"/>
    </row>
    <row r="43" spans="1:7" ht="12.75" customHeight="1">
      <c r="A43" s="339"/>
      <c r="B43" s="339"/>
      <c r="C43" s="339"/>
      <c r="D43" s="339"/>
      <c r="E43" s="339"/>
      <c r="F43" s="339"/>
      <c r="G43" s="339"/>
    </row>
    <row r="44" spans="1:7" ht="12.75" customHeight="1">
      <c r="A44" s="378" t="s">
        <v>210</v>
      </c>
      <c r="B44" s="346"/>
      <c r="C44" s="346"/>
      <c r="D44" s="339"/>
      <c r="E44" s="339"/>
      <c r="F44" s="339"/>
      <c r="G44" s="339"/>
    </row>
    <row r="45" spans="1:7" ht="12.75" customHeight="1">
      <c r="A45" s="346"/>
      <c r="B45" s="346"/>
      <c r="C45" s="346"/>
      <c r="D45" s="339"/>
      <c r="E45" s="339"/>
      <c r="F45" s="339"/>
      <c r="G45" s="339"/>
    </row>
    <row r="46" spans="1:7" ht="12.75" customHeight="1">
      <c r="A46" s="66"/>
      <c r="B46" s="66"/>
      <c r="C46" s="66"/>
      <c r="D46" s="339"/>
      <c r="E46" s="339"/>
      <c r="F46" s="339"/>
      <c r="G46" s="77"/>
    </row>
    <row r="47" spans="1:7" ht="12.75" customHeight="1">
      <c r="A47" s="63" t="s">
        <v>181</v>
      </c>
      <c r="B47" s="63">
        <f>+Hypotheses!G5</f>
        <v>2025</v>
      </c>
      <c r="C47" s="339"/>
      <c r="D47" s="339"/>
      <c r="E47" s="339"/>
      <c r="F47" s="339"/>
      <c r="G47" s="339"/>
    </row>
    <row r="48" spans="1:7" ht="12.75" customHeight="1">
      <c r="A48" s="63" t="s">
        <v>185</v>
      </c>
      <c r="B48" s="237">
        <v>0</v>
      </c>
      <c r="C48" s="72" t="s">
        <v>104</v>
      </c>
      <c r="D48" s="339"/>
      <c r="E48" s="339"/>
      <c r="F48" s="339"/>
      <c r="G48" s="77"/>
    </row>
    <row r="49" spans="1:7" ht="12.75" customHeight="1">
      <c r="A49" s="63" t="s">
        <v>187</v>
      </c>
      <c r="B49" s="237">
        <v>0</v>
      </c>
      <c r="C49" s="72" t="s">
        <v>104</v>
      </c>
      <c r="D49" s="339"/>
      <c r="E49" s="339"/>
      <c r="F49" s="339"/>
      <c r="G49" s="339"/>
    </row>
    <row r="50" spans="1:7" ht="12.75" customHeight="1">
      <c r="A50" s="63" t="s">
        <v>189</v>
      </c>
      <c r="B50" s="237">
        <v>0</v>
      </c>
      <c r="C50" s="72" t="s">
        <v>104</v>
      </c>
      <c r="D50" s="339"/>
      <c r="E50" s="339"/>
      <c r="F50" s="339"/>
      <c r="G50" s="77"/>
    </row>
    <row r="51" spans="1:7" ht="12.75" customHeight="1">
      <c r="A51" s="63" t="s">
        <v>191</v>
      </c>
      <c r="B51" s="237">
        <v>0</v>
      </c>
      <c r="C51" s="72" t="s">
        <v>104</v>
      </c>
      <c r="D51" s="339"/>
      <c r="E51" s="339"/>
      <c r="F51" s="339"/>
      <c r="G51" s="339"/>
    </row>
    <row r="52" spans="1:7" ht="12.75" customHeight="1">
      <c r="A52" s="63" t="s">
        <v>193</v>
      </c>
      <c r="B52" s="237">
        <v>0</v>
      </c>
      <c r="C52" s="72" t="s">
        <v>104</v>
      </c>
      <c r="D52" s="339"/>
      <c r="E52" s="339"/>
      <c r="F52" s="339"/>
      <c r="G52" s="339"/>
    </row>
    <row r="53" spans="1:7" ht="12.75" customHeight="1">
      <c r="A53" s="63" t="s">
        <v>195</v>
      </c>
      <c r="B53" s="237">
        <v>0</v>
      </c>
      <c r="C53" s="72" t="s">
        <v>104</v>
      </c>
      <c r="D53" s="339"/>
      <c r="E53" s="339"/>
      <c r="F53" s="339"/>
      <c r="G53" s="339"/>
    </row>
    <row r="54" spans="1:7" ht="12.75" customHeight="1">
      <c r="A54" s="63" t="s">
        <v>197</v>
      </c>
      <c r="B54" s="237">
        <v>0</v>
      </c>
      <c r="C54" s="72" t="s">
        <v>104</v>
      </c>
      <c r="D54" s="339"/>
      <c r="E54" s="339"/>
      <c r="F54" s="339"/>
      <c r="G54" s="339"/>
    </row>
    <row r="55" spans="1:7" ht="12.75" customHeight="1">
      <c r="A55" s="63" t="s">
        <v>199</v>
      </c>
      <c r="B55" s="237">
        <v>0</v>
      </c>
      <c r="C55" s="72" t="s">
        <v>104</v>
      </c>
      <c r="D55" s="339"/>
      <c r="E55" s="339"/>
      <c r="F55" s="339"/>
      <c r="G55" s="339"/>
    </row>
    <row r="56" spans="1:7" ht="12.75" customHeight="1">
      <c r="A56" s="63" t="s">
        <v>201</v>
      </c>
      <c r="B56" s="237">
        <v>0</v>
      </c>
      <c r="C56" s="72" t="s">
        <v>104</v>
      </c>
      <c r="D56" s="339"/>
      <c r="E56" s="339"/>
      <c r="F56" s="339"/>
      <c r="G56" s="73"/>
    </row>
    <row r="57" spans="1:7" ht="12.75" customHeight="1">
      <c r="A57" s="63" t="s">
        <v>203</v>
      </c>
      <c r="B57" s="237">
        <v>0</v>
      </c>
      <c r="C57" s="72" t="s">
        <v>104</v>
      </c>
      <c r="D57" s="339"/>
      <c r="E57" s="339"/>
      <c r="F57" s="339"/>
      <c r="G57" s="339"/>
    </row>
    <row r="58" spans="1:7" ht="12.75" customHeight="1">
      <c r="A58" s="63" t="s">
        <v>205</v>
      </c>
      <c r="B58" s="237">
        <v>0</v>
      </c>
      <c r="C58" s="72" t="s">
        <v>104</v>
      </c>
      <c r="D58" s="339"/>
      <c r="E58" s="339"/>
      <c r="F58" s="339"/>
      <c r="G58" s="339"/>
    </row>
    <row r="59" spans="1:7" ht="12.75" customHeight="1">
      <c r="A59" s="63" t="s">
        <v>207</v>
      </c>
      <c r="B59" s="237">
        <v>0</v>
      </c>
      <c r="C59" s="72" t="s">
        <v>104</v>
      </c>
      <c r="D59" s="339"/>
      <c r="E59" s="339"/>
      <c r="F59" s="339"/>
      <c r="G59" s="339"/>
    </row>
    <row r="60" spans="1:7" ht="12.75" customHeight="1">
      <c r="A60" s="74"/>
      <c r="B60" s="75">
        <f>AVERAGE(B48:B59)</f>
        <v>0</v>
      </c>
      <c r="C60" s="72" t="s">
        <v>104</v>
      </c>
      <c r="D60" s="339"/>
      <c r="E60" s="339"/>
      <c r="F60" s="339"/>
      <c r="G60" s="339"/>
    </row>
    <row r="61" spans="1:7" ht="12.75" customHeight="1">
      <c r="A61" s="339"/>
      <c r="B61" s="339"/>
      <c r="C61" s="339"/>
      <c r="D61" s="339"/>
      <c r="E61" s="339"/>
      <c r="F61" s="339"/>
      <c r="G61" s="73"/>
    </row>
    <row r="62" spans="1:7" ht="12.75" customHeight="1">
      <c r="A62" s="339"/>
      <c r="B62" s="339"/>
      <c r="C62" s="339"/>
      <c r="D62" s="339"/>
      <c r="E62" s="339"/>
      <c r="F62" s="339"/>
      <c r="G62" s="339"/>
    </row>
    <row r="63" spans="1:7" ht="12.75" customHeight="1">
      <c r="A63" s="339"/>
      <c r="B63" s="339"/>
      <c r="C63" s="339"/>
      <c r="D63" s="339"/>
      <c r="E63" s="339"/>
      <c r="F63" s="339"/>
      <c r="G63" s="339"/>
    </row>
    <row r="64" spans="1:7" ht="12.75" customHeight="1">
      <c r="A64" s="339"/>
      <c r="B64" s="339"/>
      <c r="C64" s="339"/>
      <c r="D64" s="339"/>
      <c r="E64" s="339"/>
      <c r="F64" s="339"/>
      <c r="G64" s="339"/>
    </row>
    <row r="65" spans="7:19" ht="12.75" customHeight="1">
      <c r="G65" s="77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</row>
    <row r="66" spans="7:19" ht="12.75" customHeight="1"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</row>
    <row r="67" spans="7:19" ht="12.75" customHeight="1">
      <c r="G67" s="77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</row>
    <row r="68" spans="7:19" ht="12.75" customHeight="1"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</row>
    <row r="69" spans="7:19" ht="12.75" customHeight="1"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72"/>
    </row>
    <row r="70" spans="7:19" ht="12.75" customHeight="1"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</row>
    <row r="71" spans="7:19" ht="12.75" customHeight="1">
      <c r="G71" s="73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</row>
    <row r="72" spans="7:19" ht="12.75" customHeight="1"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</row>
    <row r="73" spans="7:19" ht="12.75" customHeight="1"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</row>
    <row r="74" spans="7:19" ht="12.75" customHeight="1"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</row>
    <row r="75" spans="7:19" ht="12.75" customHeight="1"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</row>
    <row r="76" spans="7:19" ht="12.75" customHeight="1"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</row>
    <row r="77" spans="7:19" ht="12.75" customHeight="1"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</row>
    <row r="78" spans="7:19" ht="12.75" customHeight="1"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</row>
    <row r="79" spans="7:19" ht="12.75" customHeight="1"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</row>
    <row r="80" spans="7:19" ht="12.75" customHeight="1"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</sheetData>
  <mergeCells count="4">
    <mergeCell ref="A3:C4"/>
    <mergeCell ref="E3:J4"/>
    <mergeCell ref="A24:C25"/>
    <mergeCell ref="A44:C45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Y1000"/>
  <sheetViews>
    <sheetView showGridLines="0" workbookViewId="0">
      <pane xSplit="2" ySplit="5" topLeftCell="C6" activePane="bottomRight" state="frozen"/>
      <selection pane="bottomRight" activeCell="G8" sqref="G8"/>
      <selection pane="bottomLeft" activeCell="A6" sqref="A6"/>
      <selection pane="topRight" activeCell="C1" sqref="C1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3.5703125" customWidth="1"/>
    <col min="4" max="4" width="31" customWidth="1"/>
    <col min="5" max="5" width="7.140625" customWidth="1"/>
    <col min="6" max="6" width="19.42578125" customWidth="1"/>
    <col min="7" max="8" width="18.7109375" customWidth="1"/>
    <col min="9" max="9" width="19.85546875" customWidth="1"/>
    <col min="10" max="10" width="18.7109375" customWidth="1"/>
    <col min="11" max="25" width="14.5703125" customWidth="1"/>
  </cols>
  <sheetData>
    <row r="1" spans="1:25" ht="3" customHeight="1">
      <c r="A1" s="219"/>
      <c r="B1" s="220"/>
      <c r="C1" s="1"/>
      <c r="D1" s="1"/>
      <c r="E1" s="1"/>
      <c r="F1" s="78"/>
      <c r="G1" s="78"/>
      <c r="H1" s="78"/>
      <c r="I1" s="78"/>
      <c r="J1" s="78"/>
      <c r="K1" s="339"/>
      <c r="L1" s="339"/>
      <c r="M1" s="339"/>
      <c r="N1" s="339"/>
      <c r="O1" s="339"/>
      <c r="P1" s="339"/>
      <c r="Q1" s="339"/>
      <c r="R1" s="339"/>
      <c r="S1" s="339"/>
      <c r="T1" s="1"/>
      <c r="U1" s="1"/>
      <c r="V1" s="1"/>
      <c r="W1" s="1"/>
      <c r="X1" s="1"/>
      <c r="Y1" s="1"/>
    </row>
    <row r="2" spans="1:25" ht="17.25" customHeight="1">
      <c r="A2" s="219"/>
      <c r="B2" s="220"/>
      <c r="C2" s="353" t="s">
        <v>211</v>
      </c>
      <c r="D2" s="346"/>
      <c r="E2" s="346"/>
      <c r="F2" s="346"/>
      <c r="G2" s="346"/>
      <c r="H2" s="346"/>
      <c r="I2" s="346"/>
      <c r="J2" s="346"/>
      <c r="K2" s="339"/>
      <c r="L2" s="339"/>
      <c r="M2" s="339"/>
      <c r="N2" s="339"/>
      <c r="O2" s="339"/>
      <c r="P2" s="339"/>
      <c r="Q2" s="339"/>
      <c r="R2" s="339"/>
      <c r="S2" s="339"/>
      <c r="T2" s="1"/>
      <c r="U2" s="1"/>
      <c r="V2" s="1"/>
      <c r="W2" s="1"/>
      <c r="X2" s="1"/>
      <c r="Y2" s="1"/>
    </row>
    <row r="3" spans="1:25" ht="17.25" customHeight="1">
      <c r="A3" s="219"/>
      <c r="B3" s="220"/>
      <c r="C3" s="346"/>
      <c r="D3" s="346"/>
      <c r="E3" s="346"/>
      <c r="F3" s="346"/>
      <c r="G3" s="346"/>
      <c r="H3" s="346"/>
      <c r="I3" s="346"/>
      <c r="J3" s="346"/>
      <c r="K3" s="339"/>
      <c r="L3" s="339"/>
      <c r="M3" s="339"/>
      <c r="N3" s="339"/>
      <c r="O3" s="339"/>
      <c r="P3" s="339"/>
      <c r="Q3" s="339"/>
      <c r="R3" s="339"/>
      <c r="S3" s="339"/>
      <c r="T3" s="1"/>
      <c r="U3" s="1"/>
      <c r="V3" s="1"/>
      <c r="W3" s="1"/>
      <c r="X3" s="1"/>
      <c r="Y3" s="1"/>
    </row>
    <row r="4" spans="1:25" ht="17.25" customHeight="1">
      <c r="A4" s="219"/>
      <c r="B4" s="220"/>
      <c r="C4" s="346"/>
      <c r="D4" s="346"/>
      <c r="E4" s="346"/>
      <c r="F4" s="346"/>
      <c r="G4" s="346"/>
      <c r="H4" s="346"/>
      <c r="I4" s="346"/>
      <c r="J4" s="346"/>
      <c r="K4" s="339"/>
      <c r="L4" s="339"/>
      <c r="M4" s="339"/>
      <c r="N4" s="339"/>
      <c r="O4" s="339"/>
      <c r="P4" s="339"/>
      <c r="Q4" s="339"/>
      <c r="R4" s="339"/>
      <c r="S4" s="339"/>
      <c r="T4" s="1"/>
      <c r="U4" s="1"/>
      <c r="V4" s="1"/>
      <c r="W4" s="1"/>
      <c r="X4" s="1"/>
      <c r="Y4" s="1"/>
    </row>
    <row r="5" spans="1:25" ht="17.25" customHeight="1">
      <c r="A5" s="219"/>
      <c r="B5" s="220"/>
      <c r="C5" s="79"/>
      <c r="D5" s="66"/>
      <c r="E5" s="80"/>
      <c r="F5" s="81">
        <f>Hypotheses!G5</f>
        <v>2025</v>
      </c>
      <c r="G5" s="81">
        <f>Hypotheses!H5</f>
        <v>2026</v>
      </c>
      <c r="H5" s="81">
        <f>Hypotheses!I5</f>
        <v>2027</v>
      </c>
      <c r="I5" s="81">
        <f>Hypotheses!J5</f>
        <v>2028</v>
      </c>
      <c r="J5" s="81">
        <f>Hypotheses!K5</f>
        <v>2029</v>
      </c>
      <c r="K5" s="339"/>
      <c r="L5" s="339"/>
      <c r="M5" s="339"/>
      <c r="N5" s="339"/>
      <c r="O5" s="339"/>
      <c r="P5" s="339"/>
      <c r="Q5" s="339"/>
      <c r="R5" s="339"/>
      <c r="S5" s="339"/>
      <c r="T5" s="1"/>
      <c r="U5" s="1"/>
      <c r="V5" s="1"/>
      <c r="W5" s="1"/>
      <c r="X5" s="1"/>
      <c r="Y5" s="1"/>
    </row>
    <row r="6" spans="1:25" ht="17.25" customHeight="1">
      <c r="A6" s="219"/>
      <c r="B6" s="220"/>
      <c r="C6" s="1"/>
      <c r="D6" s="1"/>
      <c r="E6" s="1"/>
      <c r="F6" s="238"/>
      <c r="G6" s="82">
        <f t="shared" ref="G6:J6" si="0">+(G7-F7)/F7</f>
        <v>8.0766666666666662</v>
      </c>
      <c r="H6" s="82">
        <f t="shared" si="0"/>
        <v>3.7330150569225194E-2</v>
      </c>
      <c r="I6" s="82">
        <f t="shared" si="0"/>
        <v>3.801727647673174E-2</v>
      </c>
      <c r="J6" s="82">
        <f t="shared" si="0"/>
        <v>3.8766640103777686E-2</v>
      </c>
      <c r="K6" s="339"/>
      <c r="L6" s="339"/>
      <c r="M6" s="339"/>
      <c r="N6" s="339"/>
      <c r="O6" s="339"/>
      <c r="P6" s="339"/>
      <c r="Q6" s="339"/>
      <c r="R6" s="339"/>
      <c r="S6" s="339"/>
      <c r="T6" s="1"/>
      <c r="U6" s="1"/>
      <c r="V6" s="1"/>
      <c r="W6" s="1"/>
      <c r="X6" s="1"/>
      <c r="Y6" s="1"/>
    </row>
    <row r="7" spans="1:25" ht="17.25" customHeight="1">
      <c r="A7" s="219"/>
      <c r="B7" s="220"/>
      <c r="C7" s="58" t="s">
        <v>148</v>
      </c>
      <c r="D7" s="59"/>
      <c r="E7" s="60" t="s">
        <v>212</v>
      </c>
      <c r="F7" s="83">
        <f t="shared" ref="F7:J7" si="1">+F9+F12+F15+F18+F21</f>
        <v>15</v>
      </c>
      <c r="G7" s="83">
        <f t="shared" si="1"/>
        <v>136.15</v>
      </c>
      <c r="H7" s="83">
        <f t="shared" si="1"/>
        <v>141.23250000000002</v>
      </c>
      <c r="I7" s="83">
        <f t="shared" si="1"/>
        <v>146.60177500000003</v>
      </c>
      <c r="J7" s="83">
        <f t="shared" si="1"/>
        <v>152.28503325000003</v>
      </c>
      <c r="K7" s="339"/>
      <c r="L7" s="339"/>
      <c r="M7" s="339"/>
      <c r="N7" s="339"/>
      <c r="O7" s="339"/>
      <c r="P7" s="339"/>
      <c r="Q7" s="339"/>
      <c r="R7" s="339"/>
      <c r="S7" s="339"/>
      <c r="T7" s="1"/>
      <c r="U7" s="1"/>
      <c r="V7" s="1"/>
      <c r="W7" s="1"/>
      <c r="X7" s="1"/>
      <c r="Y7" s="1"/>
    </row>
    <row r="8" spans="1:25" ht="17.25" customHeight="1">
      <c r="A8" s="219"/>
      <c r="B8" s="220"/>
      <c r="C8" s="84"/>
      <c r="D8" s="239" t="str">
        <f>+Hypotheses!D69</f>
        <v>Produit 1</v>
      </c>
      <c r="E8" s="85" t="str">
        <f>Hypotheses!$E$13</f>
        <v>XOF</v>
      </c>
      <c r="F8" s="240">
        <f>F9*F10*Hypotheses!$F$25</f>
        <v>21900000</v>
      </c>
      <c r="G8" s="240">
        <f>G9*G10*Hypotheses!$F$25</f>
        <v>459900000</v>
      </c>
      <c r="H8" s="240">
        <f>H9*H10*Hypotheses!$F$25</f>
        <v>473697000</v>
      </c>
      <c r="I8" s="240">
        <f>I9*I10*Hypotheses!$F$25</f>
        <v>487907910.00000006</v>
      </c>
      <c r="J8" s="240">
        <f>J9*J10*Hypotheses!$F$25</f>
        <v>502545147.30000001</v>
      </c>
      <c r="K8" s="339"/>
      <c r="L8" s="339"/>
      <c r="M8" s="339"/>
      <c r="N8" s="339"/>
      <c r="O8" s="339"/>
      <c r="P8" s="339"/>
      <c r="Q8" s="339"/>
      <c r="R8" s="339"/>
      <c r="S8" s="339"/>
      <c r="T8" s="1"/>
      <c r="U8" s="1"/>
      <c r="V8" s="1"/>
      <c r="W8" s="1"/>
      <c r="X8" s="1"/>
      <c r="Y8" s="1"/>
    </row>
    <row r="9" spans="1:25" ht="17.25" customHeight="1">
      <c r="A9" s="219"/>
      <c r="B9" s="220"/>
      <c r="C9" s="84"/>
      <c r="D9" s="86" t="str">
        <f>Hypotheses!D48</f>
        <v>Quantité/Jour</v>
      </c>
      <c r="E9" s="85"/>
      <c r="F9" s="241">
        <f>+Hypotheses!G48</f>
        <v>6</v>
      </c>
      <c r="G9" s="241">
        <f>F9*(1+Hypotheses!H70)</f>
        <v>126</v>
      </c>
      <c r="H9" s="241">
        <f>G9*(1+Hypotheses!I70)</f>
        <v>129.78</v>
      </c>
      <c r="I9" s="241">
        <f>H9*(1+Hypotheses!J70)</f>
        <v>133.67340000000002</v>
      </c>
      <c r="J9" s="241">
        <f>I9*(1+Hypotheses!K70)</f>
        <v>137.68360200000001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.25" customHeight="1">
      <c r="A10" s="219"/>
      <c r="B10" s="220"/>
      <c r="C10" s="84"/>
      <c r="D10" s="86" t="str">
        <f>Hypotheses!D49</f>
        <v>Prix</v>
      </c>
      <c r="E10" s="85"/>
      <c r="F10" s="241">
        <f>+Hypotheses!G49</f>
        <v>10000</v>
      </c>
      <c r="G10" s="241">
        <f>F10*(1+Hypotheses!H71)</f>
        <v>10000</v>
      </c>
      <c r="H10" s="241">
        <f>G10*(1+Hypotheses!I71)</f>
        <v>10000</v>
      </c>
      <c r="I10" s="241">
        <f>H10*(1+Hypotheses!J71)</f>
        <v>10000</v>
      </c>
      <c r="J10" s="241">
        <f>I10*(1+Hypotheses!K71)</f>
        <v>10000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.25" customHeight="1">
      <c r="A11" s="219"/>
      <c r="B11" s="220"/>
      <c r="C11" s="84"/>
      <c r="D11" s="239" t="str">
        <f>Hypotheses!D72</f>
        <v>Produit 2</v>
      </c>
      <c r="E11" s="85" t="str">
        <f>Hypotheses!$E$13</f>
        <v>XOF</v>
      </c>
      <c r="F11" s="240">
        <f>F12*F13*Hypotheses!$F$25</f>
        <v>27375000</v>
      </c>
      <c r="G11" s="240">
        <f>G12*G13*Hypotheses!$F$25</f>
        <v>31481250</v>
      </c>
      <c r="H11" s="240">
        <f>H12*H13*Hypotheses!$F$25</f>
        <v>36203437.5</v>
      </c>
      <c r="I11" s="240">
        <f>I12*I13*Hypotheses!$F$25</f>
        <v>41633953.124999993</v>
      </c>
      <c r="J11" s="240">
        <f>J12*J13*Hypotheses!$F$25</f>
        <v>47879046.093749993</v>
      </c>
      <c r="K11" s="339"/>
      <c r="L11" s="339"/>
      <c r="M11" s="339"/>
      <c r="N11" s="339"/>
      <c r="O11" s="339"/>
      <c r="P11" s="339"/>
      <c r="Q11" s="339"/>
      <c r="R11" s="339"/>
      <c r="S11" s="339"/>
      <c r="T11" s="1"/>
      <c r="U11" s="1"/>
      <c r="V11" s="1"/>
      <c r="W11" s="1"/>
      <c r="X11" s="1"/>
      <c r="Y11" s="1"/>
    </row>
    <row r="12" spans="1:25" ht="17.25" customHeight="1">
      <c r="A12" s="219"/>
      <c r="B12" s="220"/>
      <c r="C12" s="84"/>
      <c r="D12" s="86" t="str">
        <f>Hypotheses!D51</f>
        <v>Quantité vendue/Jour</v>
      </c>
      <c r="E12" s="85"/>
      <c r="F12" s="241">
        <f>+Hypotheses!G51</f>
        <v>5</v>
      </c>
      <c r="G12" s="241">
        <f>(F12*(1+Hypotheses!H73))</f>
        <v>5.75</v>
      </c>
      <c r="H12" s="241">
        <f>(G12*(1+Hypotheses!I73))</f>
        <v>6.6124999999999998</v>
      </c>
      <c r="I12" s="241">
        <f>(H12*(1+Hypotheses!J73))</f>
        <v>7.6043749999999992</v>
      </c>
      <c r="J12" s="241">
        <f>(I12*(1+Hypotheses!K73))</f>
        <v>8.7450312499999985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7.25" customHeight="1">
      <c r="A13" s="219"/>
      <c r="B13" s="220"/>
      <c r="C13" s="84"/>
      <c r="D13" s="86" t="str">
        <f>Hypotheses!D52</f>
        <v>Prix</v>
      </c>
      <c r="E13" s="85"/>
      <c r="F13" s="241">
        <f>+Hypotheses!G52</f>
        <v>15000</v>
      </c>
      <c r="G13" s="241">
        <f>(F13*(1+Hypotheses!H74))</f>
        <v>15000</v>
      </c>
      <c r="H13" s="241">
        <f>(G13*(1+Hypotheses!I74))</f>
        <v>15000</v>
      </c>
      <c r="I13" s="241">
        <f>(H13*(1+Hypotheses!J74))</f>
        <v>15000</v>
      </c>
      <c r="J13" s="241">
        <f>(I13*(1+Hypotheses!K74))</f>
        <v>15000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7.25" customHeight="1">
      <c r="A14" s="219"/>
      <c r="B14" s="220"/>
      <c r="C14" s="84"/>
      <c r="D14" s="239" t="str">
        <f>+Hypotheses!D75</f>
        <v>Produit 3</v>
      </c>
      <c r="E14" s="85" t="str">
        <f>Hypotheses!$E$13</f>
        <v>XOF</v>
      </c>
      <c r="F14" s="240">
        <f>F15*F16*Hypotheses!$F$25</f>
        <v>29200000</v>
      </c>
      <c r="G14" s="240">
        <f>G15*G16*Hypotheses!$F$25</f>
        <v>32120000</v>
      </c>
      <c r="H14" s="240">
        <f>H15*H16*Hypotheses!$F$25</f>
        <v>35332000.000000007</v>
      </c>
      <c r="I14" s="240">
        <f>I15*I16*Hypotheses!$F$25</f>
        <v>38865200.000000007</v>
      </c>
      <c r="J14" s="240">
        <f>J15*J16*Hypotheses!$F$25</f>
        <v>42751720.000000015</v>
      </c>
      <c r="K14" s="339"/>
      <c r="L14" s="339"/>
      <c r="M14" s="339"/>
      <c r="N14" s="339"/>
      <c r="O14" s="339"/>
      <c r="P14" s="339"/>
      <c r="Q14" s="339"/>
      <c r="R14" s="339"/>
      <c r="S14" s="339"/>
      <c r="T14" s="1"/>
      <c r="U14" s="1"/>
      <c r="V14" s="1"/>
      <c r="W14" s="1"/>
      <c r="X14" s="1"/>
      <c r="Y14" s="1"/>
    </row>
    <row r="15" spans="1:25" ht="17.25" customHeight="1">
      <c r="A15" s="219"/>
      <c r="B15" s="220"/>
      <c r="C15" s="84"/>
      <c r="D15" s="86" t="str">
        <f>Hypotheses!D54</f>
        <v>Quantité vendue/Jour</v>
      </c>
      <c r="E15" s="85"/>
      <c r="F15" s="241">
        <f>+Hypotheses!G54</f>
        <v>4</v>
      </c>
      <c r="G15" s="241">
        <f>(F15*(1+Hypotheses!H76))</f>
        <v>4.4000000000000004</v>
      </c>
      <c r="H15" s="241">
        <f>(G15*(1+Hypotheses!I76))</f>
        <v>4.8400000000000007</v>
      </c>
      <c r="I15" s="241">
        <f>(H15*(1+Hypotheses!J76))</f>
        <v>5.3240000000000016</v>
      </c>
      <c r="J15" s="241">
        <f>(I15*(1+Hypotheses!K76))</f>
        <v>5.8564000000000025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7.25" customHeight="1">
      <c r="A16" s="219"/>
      <c r="B16" s="220"/>
      <c r="C16" s="84"/>
      <c r="D16" s="86" t="str">
        <f>Hypotheses!D55</f>
        <v>Prix</v>
      </c>
      <c r="E16" s="85"/>
      <c r="F16" s="241">
        <f>+Hypotheses!G55</f>
        <v>20000</v>
      </c>
      <c r="G16" s="241">
        <f>(F16*(1+Hypotheses!H77))</f>
        <v>20000</v>
      </c>
      <c r="H16" s="241">
        <f>(G16*(1+Hypotheses!I77))</f>
        <v>20000</v>
      </c>
      <c r="I16" s="241">
        <f>(H16*(1+Hypotheses!J77))</f>
        <v>20000</v>
      </c>
      <c r="J16" s="241">
        <f>(I16*(1+Hypotheses!K77))</f>
        <v>20000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7.25" customHeight="1">
      <c r="A17" s="219"/>
      <c r="B17" s="220"/>
      <c r="C17" s="84"/>
      <c r="D17" s="239" t="str">
        <f>+Hypotheses!D78</f>
        <v>Produit 4</v>
      </c>
      <c r="E17" s="85" t="str">
        <f>Hypotheses!$E$13</f>
        <v>XOF</v>
      </c>
      <c r="F17" s="240">
        <f>F18*F19*Hypotheses!$F$25</f>
        <v>0</v>
      </c>
      <c r="G17" s="240">
        <f>(F17*(1+Hypotheses!H78))</f>
        <v>0</v>
      </c>
      <c r="H17" s="240">
        <f>H18*H19*Hypotheses!$F$25</f>
        <v>0</v>
      </c>
      <c r="I17" s="240">
        <f>I18*I19*Hypotheses!$F$25</f>
        <v>0</v>
      </c>
      <c r="J17" s="240">
        <f>J18*J19*Hypotheses!$F$25</f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7.25" customHeight="1">
      <c r="A18" s="219"/>
      <c r="B18" s="220"/>
      <c r="C18" s="84"/>
      <c r="D18" s="86" t="str">
        <f>Hypotheses!D57</f>
        <v>Quantité vendue/Jour</v>
      </c>
      <c r="E18" s="85"/>
      <c r="F18" s="241">
        <f>Hypotheses!G57</f>
        <v>0</v>
      </c>
      <c r="G18" s="241">
        <f>(F18*(1+Hypotheses!H79))</f>
        <v>0</v>
      </c>
      <c r="H18" s="241">
        <f>(G18*(1+Hypotheses!I79))</f>
        <v>0</v>
      </c>
      <c r="I18" s="241">
        <f>(H18*(1+Hypotheses!J79))</f>
        <v>0</v>
      </c>
      <c r="J18" s="241">
        <f>(I18*(1+Hypotheses!K79))</f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7.25" customHeight="1">
      <c r="A19" s="219"/>
      <c r="B19" s="220"/>
      <c r="C19" s="84"/>
      <c r="D19" s="86" t="str">
        <f>Hypotheses!D58</f>
        <v>Prix</v>
      </c>
      <c r="E19" s="85"/>
      <c r="F19" s="241">
        <f>Hypotheses!G58</f>
        <v>0</v>
      </c>
      <c r="G19" s="241">
        <f>(F19*(1+Hypotheses!H80))</f>
        <v>0</v>
      </c>
      <c r="H19" s="241">
        <f>(G19*(1+Hypotheses!I80))</f>
        <v>0</v>
      </c>
      <c r="I19" s="241">
        <f>(H19*(1+Hypotheses!J80))</f>
        <v>0</v>
      </c>
      <c r="J19" s="241">
        <f>(I19*(1+Hypotheses!K80))</f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7.25" customHeight="1">
      <c r="A20" s="219"/>
      <c r="B20" s="220"/>
      <c r="C20" s="84"/>
      <c r="D20" s="239" t="str">
        <f>+Hypotheses!D81</f>
        <v>Produit 5</v>
      </c>
      <c r="E20" s="85" t="str">
        <f>Hypotheses!$E$13</f>
        <v>XOF</v>
      </c>
      <c r="F20" s="240">
        <f>F21*F22*Hypotheses!$F$25</f>
        <v>0</v>
      </c>
      <c r="G20" s="240">
        <f>G21*G22*Hypotheses!$F$25</f>
        <v>0</v>
      </c>
      <c r="H20" s="240">
        <f>H21*H22*Hypotheses!$F$25</f>
        <v>0</v>
      </c>
      <c r="I20" s="240">
        <f>I21*I22*Hypotheses!$F$25</f>
        <v>0</v>
      </c>
      <c r="J20" s="240">
        <f>J21*J22*Hypotheses!$F$25</f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7.25" customHeight="1">
      <c r="A21" s="219"/>
      <c r="B21" s="220"/>
      <c r="C21" s="84"/>
      <c r="D21" s="86" t="str">
        <f>Hypotheses!D60</f>
        <v>Quantité vendue/Jour</v>
      </c>
      <c r="E21" s="85"/>
      <c r="F21" s="241">
        <f>Hypotheses!G60</f>
        <v>0</v>
      </c>
      <c r="G21" s="241">
        <f>(F21*(1+Hypotheses!H82))</f>
        <v>0</v>
      </c>
      <c r="H21" s="241">
        <f>(G21*(1+Hypotheses!I82))</f>
        <v>0</v>
      </c>
      <c r="I21" s="241">
        <f>(H21*(1+Hypotheses!J82))</f>
        <v>0</v>
      </c>
      <c r="J21" s="241">
        <f>(I21*(1+Hypotheses!K82))</f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7.25" customHeight="1">
      <c r="A22" s="219"/>
      <c r="B22" s="220"/>
      <c r="C22" s="84"/>
      <c r="D22" s="86" t="str">
        <f>Hypotheses!D61</f>
        <v>Prix</v>
      </c>
      <c r="E22" s="85"/>
      <c r="F22" s="241">
        <f>Hypotheses!G61</f>
        <v>0</v>
      </c>
      <c r="G22" s="241">
        <f>(F22*(1+Hypotheses!H83))</f>
        <v>0</v>
      </c>
      <c r="H22" s="241">
        <f>(G22*(1+Hypotheses!I83))</f>
        <v>0</v>
      </c>
      <c r="I22" s="241">
        <f>(H22*(1+Hypotheses!J83))</f>
        <v>0</v>
      </c>
      <c r="J22" s="241">
        <f>(I22*(1+Hypotheses!K83))</f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7.25" customHeight="1">
      <c r="A23" s="219"/>
      <c r="B23" s="220"/>
      <c r="C23" s="84" t="s">
        <v>213</v>
      </c>
      <c r="D23" s="87"/>
      <c r="E23" s="88" t="str">
        <f>Hypotheses!$E$13</f>
        <v>XOF</v>
      </c>
      <c r="F23" s="242">
        <f t="shared" ref="F23:J23" si="2">+F8+F11+F14+F17+F20</f>
        <v>78475000</v>
      </c>
      <c r="G23" s="243">
        <f t="shared" si="2"/>
        <v>523501250</v>
      </c>
      <c r="H23" s="243">
        <f t="shared" si="2"/>
        <v>545232437.5</v>
      </c>
      <c r="I23" s="243">
        <f t="shared" si="2"/>
        <v>568407063.12500012</v>
      </c>
      <c r="J23" s="243">
        <f t="shared" si="2"/>
        <v>593175913.39374995</v>
      </c>
      <c r="K23" s="339"/>
      <c r="L23" s="339"/>
      <c r="M23" s="339"/>
      <c r="N23" s="339"/>
      <c r="O23" s="339"/>
      <c r="P23" s="339"/>
      <c r="Q23" s="339"/>
      <c r="R23" s="339"/>
      <c r="S23" s="339"/>
      <c r="T23" s="1"/>
      <c r="U23" s="1"/>
      <c r="V23" s="1"/>
      <c r="W23" s="1"/>
      <c r="X23" s="1"/>
      <c r="Y23" s="1"/>
    </row>
    <row r="24" spans="1:25" ht="17.25" customHeight="1">
      <c r="A24" s="219"/>
      <c r="B24" s="244"/>
      <c r="C24" s="89" t="s">
        <v>214</v>
      </c>
      <c r="D24" s="89"/>
      <c r="E24" s="90" t="str">
        <f>Hypotheses!$E$13</f>
        <v>XOF</v>
      </c>
      <c r="F24" s="245">
        <f>F25+F26</f>
        <v>24339600</v>
      </c>
      <c r="G24" s="246">
        <f>F24+(F24*Hypotheses!H85)</f>
        <v>24339600</v>
      </c>
      <c r="H24" s="246">
        <f>G24+(G24*Hypotheses!I85)</f>
        <v>24339600</v>
      </c>
      <c r="I24" s="246">
        <f>H24+(H24*Hypotheses!J85)</f>
        <v>24339600</v>
      </c>
      <c r="J24" s="246">
        <f>I24+(I24*Hypotheses!K85)</f>
        <v>24339600</v>
      </c>
      <c r="K24" s="91"/>
      <c r="L24" s="91"/>
      <c r="M24" s="91"/>
      <c r="N24" s="91"/>
      <c r="O24" s="91"/>
      <c r="P24" s="91"/>
      <c r="Q24" s="91"/>
      <c r="R24" s="91"/>
      <c r="S24" s="91"/>
      <c r="T24" s="92"/>
      <c r="U24" s="92"/>
      <c r="V24" s="92"/>
      <c r="W24" s="92"/>
      <c r="X24" s="92"/>
      <c r="Y24" s="92"/>
    </row>
    <row r="25" spans="1:25" ht="17.25" customHeight="1">
      <c r="A25" s="219"/>
      <c r="B25" s="244"/>
      <c r="C25" s="84"/>
      <c r="D25" s="89" t="str">
        <f>+Hypotheses!D86</f>
        <v>Salaires &amp; traitements</v>
      </c>
      <c r="E25" s="90" t="str">
        <f>Hypotheses!$E$13</f>
        <v>XOF</v>
      </c>
      <c r="F25" s="246">
        <f>'Estimation des autres charges'!H19</f>
        <v>24000000</v>
      </c>
      <c r="G25" s="246">
        <f>+F25+(F25*Hypotheses!H86)</f>
        <v>24720000</v>
      </c>
      <c r="H25" s="246">
        <f>+G25+(G25*Hypotheses!I86)</f>
        <v>25461600</v>
      </c>
      <c r="I25" s="246">
        <f>+H25+(H25*Hypotheses!J86)</f>
        <v>26225448</v>
      </c>
      <c r="J25" s="246">
        <f>+I25+(I25*Hypotheses!K86)</f>
        <v>27012211.440000001</v>
      </c>
      <c r="K25" s="91"/>
      <c r="L25" s="91"/>
      <c r="M25" s="91"/>
      <c r="N25" s="91"/>
      <c r="O25" s="91"/>
      <c r="P25" s="91"/>
      <c r="Q25" s="91"/>
      <c r="R25" s="91"/>
      <c r="S25" s="91"/>
      <c r="T25" s="92"/>
      <c r="U25" s="92"/>
      <c r="V25" s="92"/>
      <c r="W25" s="92"/>
      <c r="X25" s="92"/>
      <c r="Y25" s="92"/>
    </row>
    <row r="26" spans="1:25" ht="17.25" customHeight="1">
      <c r="A26" s="247"/>
      <c r="B26" s="248"/>
      <c r="C26" s="54"/>
      <c r="D26" s="93" t="str">
        <f>Hypotheses!D87</f>
        <v>Achat de matière et fourniture liée</v>
      </c>
      <c r="E26" s="94" t="str">
        <f>Hypotheses!$E$13</f>
        <v>XOF</v>
      </c>
      <c r="F26" s="249">
        <f t="shared" ref="F26:J26" si="3">SUM(F27:F31)</f>
        <v>339600</v>
      </c>
      <c r="G26" s="249">
        <f t="shared" si="3"/>
        <v>340680</v>
      </c>
      <c r="H26" s="249">
        <f t="shared" si="3"/>
        <v>341792.4</v>
      </c>
      <c r="I26" s="249">
        <f t="shared" si="3"/>
        <v>342938.17200000002</v>
      </c>
      <c r="J26" s="249">
        <f t="shared" si="3"/>
        <v>344118.31715999998</v>
      </c>
      <c r="K26" s="95"/>
      <c r="L26" s="95"/>
      <c r="M26" s="95"/>
      <c r="N26" s="95"/>
      <c r="O26" s="95"/>
      <c r="P26" s="95"/>
      <c r="Q26" s="95"/>
      <c r="R26" s="95"/>
      <c r="S26" s="95"/>
      <c r="T26" s="96"/>
      <c r="U26" s="96"/>
      <c r="V26" s="96"/>
      <c r="W26" s="96"/>
      <c r="X26" s="96"/>
      <c r="Y26" s="96"/>
    </row>
    <row r="27" spans="1:25" ht="17.25" customHeight="1">
      <c r="A27" s="219"/>
      <c r="B27" s="220"/>
      <c r="C27" s="2"/>
      <c r="D27" s="97" t="str">
        <f>Hypotheses!D88</f>
        <v>Matière A</v>
      </c>
      <c r="E27" s="94" t="str">
        <f>Hypotheses!$E$13</f>
        <v>XOF</v>
      </c>
      <c r="F27" s="250">
        <f>Hypotheses!$F$26*Hypotheses!L48</f>
        <v>36000</v>
      </c>
      <c r="G27" s="250">
        <f>F27*(1+Hypotheses!H88)</f>
        <v>37080</v>
      </c>
      <c r="H27" s="250">
        <f>G27*(1+Hypotheses!I88)</f>
        <v>38192.400000000001</v>
      </c>
      <c r="I27" s="250">
        <f>H27*(1+Hypotheses!J88)</f>
        <v>39338.172000000006</v>
      </c>
      <c r="J27" s="250">
        <f>I27*(1+Hypotheses!K88)</f>
        <v>40518.317160000006</v>
      </c>
      <c r="K27" s="339"/>
      <c r="L27" s="339"/>
      <c r="M27" s="339"/>
      <c r="N27" s="339"/>
      <c r="O27" s="339"/>
      <c r="P27" s="339"/>
      <c r="Q27" s="339"/>
      <c r="R27" s="339"/>
      <c r="S27" s="339"/>
      <c r="T27" s="1"/>
      <c r="U27" s="1"/>
      <c r="V27" s="1"/>
      <c r="W27" s="1"/>
      <c r="X27" s="1"/>
      <c r="Y27" s="1"/>
    </row>
    <row r="28" spans="1:25" ht="17.25" customHeight="1">
      <c r="A28" s="219"/>
      <c r="B28" s="220"/>
      <c r="C28" s="2"/>
      <c r="D28" s="97" t="str">
        <f>Hypotheses!D89</f>
        <v>Matière B</v>
      </c>
      <c r="E28" s="94" t="str">
        <f>Hypotheses!$E$13</f>
        <v>XOF</v>
      </c>
      <c r="F28" s="250">
        <f>Hypotheses!$F$26*Hypotheses!L49</f>
        <v>176400</v>
      </c>
      <c r="G28" s="250">
        <f>F28*(1+Hypotheses!H89)</f>
        <v>176400</v>
      </c>
      <c r="H28" s="250">
        <f>G28*(1+Hypotheses!I89)</f>
        <v>176400</v>
      </c>
      <c r="I28" s="250">
        <f>H28*(1+Hypotheses!J89)</f>
        <v>176400</v>
      </c>
      <c r="J28" s="250">
        <f>I28*(1+Hypotheses!K89)</f>
        <v>176400</v>
      </c>
      <c r="K28" s="339"/>
      <c r="L28" s="339"/>
      <c r="M28" s="339"/>
      <c r="N28" s="339"/>
      <c r="O28" s="339"/>
      <c r="P28" s="339"/>
      <c r="Q28" s="339"/>
      <c r="R28" s="339"/>
      <c r="S28" s="339"/>
      <c r="T28" s="1"/>
      <c r="U28" s="1"/>
      <c r="V28" s="1"/>
      <c r="W28" s="1"/>
      <c r="X28" s="1"/>
      <c r="Y28" s="1"/>
    </row>
    <row r="29" spans="1:25" ht="17.25" customHeight="1">
      <c r="A29" s="219"/>
      <c r="B29" s="220"/>
      <c r="C29" s="2"/>
      <c r="D29" s="97" t="str">
        <f>Hypotheses!D90</f>
        <v>Matière C</v>
      </c>
      <c r="E29" s="94" t="str">
        <f>Hypotheses!$E$13</f>
        <v>XOF</v>
      </c>
      <c r="F29" s="250">
        <f>Hypotheses!$F$26*Hypotheses!L50</f>
        <v>55200</v>
      </c>
      <c r="G29" s="250">
        <f>F29*(1+Hypotheses!H90)</f>
        <v>55200</v>
      </c>
      <c r="H29" s="250">
        <f>G29*(1+Hypotheses!I90)</f>
        <v>55200</v>
      </c>
      <c r="I29" s="250">
        <f>H29*(1+Hypotheses!J90)</f>
        <v>55200</v>
      </c>
      <c r="J29" s="250">
        <f>I29*(1+Hypotheses!K90)</f>
        <v>55200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25" customHeight="1">
      <c r="A30" s="219"/>
      <c r="B30" s="220"/>
      <c r="C30" s="2"/>
      <c r="D30" s="97" t="str">
        <f>Hypotheses!D91</f>
        <v>Matière D</v>
      </c>
      <c r="E30" s="94" t="str">
        <f>Hypotheses!$E$13</f>
        <v>XOF</v>
      </c>
      <c r="F30" s="250">
        <f>Hypotheses!$F$26*Hypotheses!L51</f>
        <v>28800</v>
      </c>
      <c r="G30" s="250">
        <f>F30*(1+Hypotheses!H91)</f>
        <v>28800</v>
      </c>
      <c r="H30" s="250">
        <f>G30*(1+Hypotheses!I91)</f>
        <v>28800</v>
      </c>
      <c r="I30" s="250">
        <f>H30*(1+Hypotheses!J91)</f>
        <v>28800</v>
      </c>
      <c r="J30" s="250">
        <f>I30*(1+Hypotheses!K91)</f>
        <v>28800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7.25" customHeight="1">
      <c r="A31" s="219"/>
      <c r="B31" s="220"/>
      <c r="C31" s="2"/>
      <c r="D31" s="97" t="str">
        <f>Hypotheses!D92</f>
        <v>Matière E</v>
      </c>
      <c r="E31" s="94" t="str">
        <f>Hypotheses!$E$13</f>
        <v>XOF</v>
      </c>
      <c r="F31" s="250">
        <f>Hypotheses!$F$26*Hypotheses!L52</f>
        <v>43200</v>
      </c>
      <c r="G31" s="250">
        <f>F31*(1+Hypotheses!H92)</f>
        <v>43200</v>
      </c>
      <c r="H31" s="250">
        <f>G31*(1+Hypotheses!I92)</f>
        <v>43200</v>
      </c>
      <c r="I31" s="250">
        <f>H31*(1+Hypotheses!J92)</f>
        <v>43200</v>
      </c>
      <c r="J31" s="250">
        <f>I31*(1+Hypotheses!K92)</f>
        <v>43200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7.25" customHeight="1">
      <c r="A32" s="219"/>
      <c r="B32" s="220"/>
      <c r="C32" s="84" t="s">
        <v>215</v>
      </c>
      <c r="D32" s="2"/>
      <c r="E32" s="88" t="str">
        <f>Hypotheses!$E$13</f>
        <v>XOF</v>
      </c>
      <c r="F32" s="243">
        <f t="shared" ref="F32:J32" si="4">F23-F24</f>
        <v>54135400</v>
      </c>
      <c r="G32" s="243">
        <f t="shared" si="4"/>
        <v>499161650</v>
      </c>
      <c r="H32" s="243">
        <f t="shared" si="4"/>
        <v>520892837.5</v>
      </c>
      <c r="I32" s="243">
        <f t="shared" si="4"/>
        <v>544067463.12500012</v>
      </c>
      <c r="J32" s="243">
        <f t="shared" si="4"/>
        <v>568836313.39374995</v>
      </c>
      <c r="K32" s="339"/>
      <c r="L32" s="339"/>
      <c r="M32" s="339"/>
      <c r="N32" s="339"/>
      <c r="O32" s="339"/>
      <c r="P32" s="339"/>
      <c r="Q32" s="339"/>
      <c r="R32" s="339"/>
      <c r="S32" s="339"/>
      <c r="T32" s="1"/>
      <c r="U32" s="1"/>
      <c r="V32" s="1"/>
      <c r="W32" s="1"/>
      <c r="X32" s="1"/>
      <c r="Y32" s="1"/>
    </row>
    <row r="33" spans="1:25" ht="17.25" customHeight="1">
      <c r="A33" s="247"/>
      <c r="B33" s="248"/>
      <c r="C33" s="54"/>
      <c r="D33" s="93" t="str">
        <f>Hypotheses!D93</f>
        <v xml:space="preserve">Autres achats </v>
      </c>
      <c r="E33" s="94" t="str">
        <f>Hypotheses!$E$13</f>
        <v>XOF</v>
      </c>
      <c r="F33" s="251">
        <f t="shared" ref="F33:J33" si="5">SUM(F34:F42)</f>
        <v>27000000</v>
      </c>
      <c r="G33" s="251">
        <f t="shared" si="5"/>
        <v>27420000</v>
      </c>
      <c r="H33" s="251">
        <f t="shared" si="5"/>
        <v>27847200</v>
      </c>
      <c r="I33" s="251">
        <f t="shared" si="5"/>
        <v>28281732</v>
      </c>
      <c r="J33" s="251">
        <f t="shared" si="5"/>
        <v>28723730.52</v>
      </c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  <row r="34" spans="1:25" ht="17.25" customHeight="1">
      <c r="A34" s="219"/>
      <c r="B34" s="220"/>
      <c r="C34" s="2"/>
      <c r="D34" s="97" t="str">
        <f>Hypotheses!D94</f>
        <v>Eau</v>
      </c>
      <c r="E34" s="94" t="str">
        <f>Hypotheses!$E$13</f>
        <v>XOF</v>
      </c>
      <c r="F34" s="250">
        <f>'Estimation des autres charges'!B40</f>
        <v>0</v>
      </c>
      <c r="G34" s="250">
        <f>+F34+(F34*Hypotheses!H94)</f>
        <v>0</v>
      </c>
      <c r="H34" s="250">
        <f>+G34+(G34*Hypotheses!I94)</f>
        <v>0</v>
      </c>
      <c r="I34" s="250">
        <f>+H34+(H34*Hypotheses!J94)</f>
        <v>0</v>
      </c>
      <c r="J34" s="250">
        <f>+I34+(I34*Hypotheses!K94)</f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7.25" customHeight="1">
      <c r="A35" s="219"/>
      <c r="B35" s="220"/>
      <c r="C35" s="2"/>
      <c r="D35" s="97" t="str">
        <f>Hypotheses!D95</f>
        <v>Electricité</v>
      </c>
      <c r="E35" s="94" t="str">
        <f>Hypotheses!$E$13</f>
        <v>XOF</v>
      </c>
      <c r="F35" s="250">
        <f>'Estimation des autres charges'!B19</f>
        <v>0</v>
      </c>
      <c r="G35" s="250">
        <f>+F35+(F35*Hypotheses!H95)</f>
        <v>0</v>
      </c>
      <c r="H35" s="250">
        <f>+G35+(G35*Hypotheses!I95)</f>
        <v>0</v>
      </c>
      <c r="I35" s="250">
        <f>+H35+(H35*Hypotheses!J95)</f>
        <v>0</v>
      </c>
      <c r="J35" s="250">
        <f>+I35+(I35*Hypotheses!K95)</f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7.25" customHeight="1">
      <c r="A36" s="219"/>
      <c r="B36" s="220"/>
      <c r="C36" s="2"/>
      <c r="D36" s="97" t="str">
        <f>Hypotheses!D96</f>
        <v>Téléphone et internet</v>
      </c>
      <c r="E36" s="94" t="str">
        <f>Hypotheses!$E$13</f>
        <v>XOF</v>
      </c>
      <c r="F36" s="250">
        <f>'Estimation des autres charges'!B60</f>
        <v>0</v>
      </c>
      <c r="G36" s="250">
        <f>+F36+(F36*Hypotheses!H96)</f>
        <v>0</v>
      </c>
      <c r="H36" s="250">
        <f>+G36+(G36*Hypotheses!I96)</f>
        <v>0</v>
      </c>
      <c r="I36" s="250">
        <f>+H36+(H36*Hypotheses!J96)</f>
        <v>0</v>
      </c>
      <c r="J36" s="250">
        <f>+I36+(I36*Hypotheses!K96)</f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7.25" customHeight="1">
      <c r="A37" s="219"/>
      <c r="B37" s="220"/>
      <c r="C37" s="2"/>
      <c r="D37" s="97" t="str">
        <f>Hypotheses!D97</f>
        <v>Fourniture de bureau</v>
      </c>
      <c r="E37" s="94" t="str">
        <f>Hypotheses!$E$13</f>
        <v>XOF</v>
      </c>
      <c r="F37" s="252">
        <v>0</v>
      </c>
      <c r="G37" s="250">
        <f>+F37+(F37*Hypotheses!H97)</f>
        <v>0</v>
      </c>
      <c r="H37" s="250">
        <f>+G37+(G37*Hypotheses!I97)</f>
        <v>0</v>
      </c>
      <c r="I37" s="250">
        <f>+H37+(H37*Hypotheses!J97)</f>
        <v>0</v>
      </c>
      <c r="J37" s="250">
        <f>+I37+(I37*Hypotheses!K97)</f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7.25" customHeight="1">
      <c r="A38" s="227"/>
      <c r="B38" s="228"/>
      <c r="C38" s="2"/>
      <c r="D38" s="97" t="str">
        <f>Hypotheses!D98</f>
        <v>Entretien</v>
      </c>
      <c r="E38" s="94" t="str">
        <f>Hypotheses!$E$13</f>
        <v>XOF</v>
      </c>
      <c r="F38" s="252">
        <v>0</v>
      </c>
      <c r="G38" s="250">
        <f>+F38+(F38*Hypotheses!H98)</f>
        <v>0</v>
      </c>
      <c r="H38" s="250">
        <f>+G38+(G38*Hypotheses!I98)</f>
        <v>0</v>
      </c>
      <c r="I38" s="250">
        <f>+H38+(H38*Hypotheses!J98)</f>
        <v>0</v>
      </c>
      <c r="J38" s="250">
        <f>+I38+(I38*Hypotheses!K98)</f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7.25" customHeight="1">
      <c r="A39" s="227"/>
      <c r="B39" s="228"/>
      <c r="C39" s="2"/>
      <c r="D39" s="97" t="str">
        <f>Hypotheses!D99</f>
        <v>Achat de prestation de service</v>
      </c>
      <c r="E39" s="94" t="str">
        <f>Hypotheses!$E$13</f>
        <v>XOF</v>
      </c>
      <c r="F39" s="252">
        <v>15000000</v>
      </c>
      <c r="G39" s="250">
        <f>+F39+(F39*Hypotheses!H99)</f>
        <v>15300000</v>
      </c>
      <c r="H39" s="250">
        <f>+G39+(G39*Hypotheses!I99)</f>
        <v>15606000</v>
      </c>
      <c r="I39" s="250">
        <f>+H39+(H39*Hypotheses!J99)</f>
        <v>15918120</v>
      </c>
      <c r="J39" s="250">
        <f>+I39+(I39*Hypotheses!K99)</f>
        <v>16236482.4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25" customHeight="1">
      <c r="A40" s="227"/>
      <c r="B40" s="228"/>
      <c r="C40" s="2"/>
      <c r="D40" s="97" t="str">
        <f>Hypotheses!D100</f>
        <v>Achat d'emballage</v>
      </c>
      <c r="E40" s="94" t="str">
        <f>Hypotheses!$E$13</f>
        <v>XOF</v>
      </c>
      <c r="F40" s="252">
        <v>0</v>
      </c>
      <c r="G40" s="250">
        <f>+F40+(F40*Hypotheses!H100)</f>
        <v>0</v>
      </c>
      <c r="H40" s="250">
        <f>+G40+(G40*Hypotheses!I100)</f>
        <v>0</v>
      </c>
      <c r="I40" s="250">
        <f>+H40+(H40*Hypotheses!J100)</f>
        <v>0</v>
      </c>
      <c r="J40" s="250">
        <f>+I40+(I40*Hypotheses!K100)</f>
        <v>0</v>
      </c>
      <c r="K40" s="339"/>
      <c r="L40" s="339"/>
      <c r="M40" s="339"/>
      <c r="N40" s="339"/>
      <c r="O40" s="339"/>
      <c r="P40" s="339"/>
      <c r="Q40" s="339"/>
      <c r="R40" s="339"/>
      <c r="S40" s="339"/>
      <c r="T40" s="1"/>
      <c r="U40" s="1"/>
      <c r="V40" s="1"/>
      <c r="W40" s="1"/>
      <c r="X40" s="1"/>
      <c r="Y40" s="1"/>
    </row>
    <row r="41" spans="1:25" ht="17.25" customHeight="1">
      <c r="A41" s="227"/>
      <c r="B41" s="228"/>
      <c r="C41" s="2"/>
      <c r="D41" s="97" t="str">
        <f>Hypotheses!D101</f>
        <v>Carburant</v>
      </c>
      <c r="E41" s="94" t="str">
        <f>Hypotheses!$E$13</f>
        <v>XOF</v>
      </c>
      <c r="F41" s="252">
        <v>12000000</v>
      </c>
      <c r="G41" s="250">
        <f>+F41+(F41*Hypotheses!H101)</f>
        <v>12120000</v>
      </c>
      <c r="H41" s="250">
        <f>+G41+(G41*Hypotheses!I101)</f>
        <v>12241200</v>
      </c>
      <c r="I41" s="250">
        <f>+H41+(H41*Hypotheses!J101)</f>
        <v>12363612</v>
      </c>
      <c r="J41" s="250">
        <f>+I41+(I41*Hypotheses!K101)</f>
        <v>12487248.119999999</v>
      </c>
      <c r="K41" s="339"/>
      <c r="L41" s="98"/>
      <c r="M41" s="339"/>
      <c r="N41" s="339"/>
      <c r="O41" s="339"/>
      <c r="P41" s="339"/>
      <c r="Q41" s="339"/>
      <c r="R41" s="339"/>
      <c r="S41" s="339"/>
      <c r="T41" s="1"/>
      <c r="U41" s="1"/>
      <c r="V41" s="1"/>
      <c r="W41" s="1"/>
      <c r="X41" s="1"/>
      <c r="Y41" s="1"/>
    </row>
    <row r="42" spans="1:25" ht="17.25" customHeight="1">
      <c r="A42" s="227"/>
      <c r="B42" s="228"/>
      <c r="C42" s="2"/>
      <c r="D42" s="97" t="str">
        <f>Hypotheses!D102</f>
        <v>Rabais, Remises et Ristourne</v>
      </c>
      <c r="E42" s="94" t="str">
        <f>Hypotheses!$E$13</f>
        <v>XOF</v>
      </c>
      <c r="F42" s="252">
        <v>0</v>
      </c>
      <c r="G42" s="250">
        <f>+F42+(F42*Hypotheses!H102)</f>
        <v>0</v>
      </c>
      <c r="H42" s="250">
        <f>+G42+(G42*Hypotheses!I102)</f>
        <v>0</v>
      </c>
      <c r="I42" s="250">
        <f>+H42+(H42*Hypotheses!J102)</f>
        <v>0</v>
      </c>
      <c r="J42" s="250">
        <f>+I42+(I42*Hypotheses!K102)</f>
        <v>0</v>
      </c>
      <c r="K42" s="339"/>
      <c r="L42" s="339"/>
      <c r="M42" s="339"/>
      <c r="N42" s="339"/>
      <c r="O42" s="339"/>
      <c r="P42" s="339"/>
      <c r="Q42" s="339"/>
      <c r="R42" s="339"/>
      <c r="S42" s="339"/>
      <c r="T42" s="1"/>
      <c r="U42" s="1"/>
      <c r="V42" s="1"/>
      <c r="W42" s="1"/>
      <c r="X42" s="1"/>
      <c r="Y42" s="1"/>
    </row>
    <row r="43" spans="1:25" ht="17.25" customHeight="1">
      <c r="A43" s="227"/>
      <c r="B43" s="228"/>
      <c r="C43" s="2"/>
      <c r="D43" s="89" t="str">
        <f>Hypotheses!D103</f>
        <v>Transport</v>
      </c>
      <c r="E43" s="85" t="str">
        <f>Hypotheses!$E$13</f>
        <v>XOF</v>
      </c>
      <c r="F43" s="252">
        <v>2900000</v>
      </c>
      <c r="G43" s="253">
        <f>+F43+(F43*Hypotheses!H103)</f>
        <v>2987000</v>
      </c>
      <c r="H43" s="253">
        <f>+G43+(G43*Hypotheses!I103)</f>
        <v>3076610</v>
      </c>
      <c r="I43" s="253">
        <f>+H43+(H43*Hypotheses!J103)</f>
        <v>3168908.3</v>
      </c>
      <c r="J43" s="253">
        <f>+I43+(I43*Hypotheses!K103)</f>
        <v>3263975.5489999996</v>
      </c>
      <c r="K43" s="339"/>
      <c r="L43" s="339"/>
      <c r="M43" s="339"/>
      <c r="N43" s="339"/>
      <c r="O43" s="339"/>
      <c r="P43" s="339"/>
      <c r="Q43" s="339"/>
      <c r="R43" s="339"/>
      <c r="S43" s="339"/>
      <c r="T43" s="1"/>
      <c r="U43" s="1"/>
      <c r="V43" s="1"/>
      <c r="W43" s="1"/>
      <c r="X43" s="1"/>
      <c r="Y43" s="1"/>
    </row>
    <row r="44" spans="1:25" ht="17.25" customHeight="1">
      <c r="A44" s="227"/>
      <c r="B44" s="228"/>
      <c r="C44" s="2"/>
      <c r="D44" s="89" t="str">
        <f>Hypotheses!D104</f>
        <v>Services Extérieurs</v>
      </c>
      <c r="E44" s="85" t="str">
        <f>Hypotheses!$E$13</f>
        <v>XOF</v>
      </c>
      <c r="F44" s="252">
        <v>0</v>
      </c>
      <c r="G44" s="253">
        <f>+F44+(F44*Hypotheses!H104)</f>
        <v>0</v>
      </c>
      <c r="H44" s="253">
        <f>+G44+(G44*Hypotheses!I104)</f>
        <v>0</v>
      </c>
      <c r="I44" s="253">
        <f>+H44+(H44*Hypotheses!J104)</f>
        <v>0</v>
      </c>
      <c r="J44" s="253">
        <f>+I44+(I44*Hypotheses!K104)</f>
        <v>0</v>
      </c>
      <c r="K44" s="339"/>
      <c r="L44" s="339"/>
      <c r="M44" s="339"/>
      <c r="N44" s="339"/>
      <c r="O44" s="339"/>
      <c r="P44" s="339"/>
      <c r="Q44" s="339"/>
      <c r="R44" s="339"/>
      <c r="S44" s="339"/>
      <c r="T44" s="1"/>
      <c r="U44" s="1"/>
      <c r="V44" s="1"/>
      <c r="W44" s="1"/>
      <c r="X44" s="1"/>
      <c r="Y44" s="1"/>
    </row>
    <row r="45" spans="1:25" ht="17.25" customHeight="1">
      <c r="A45" s="227"/>
      <c r="B45" s="228"/>
      <c r="C45" s="2"/>
      <c r="D45" s="89" t="str">
        <f>Hypotheses!D105</f>
        <v>Location</v>
      </c>
      <c r="E45" s="85"/>
      <c r="F45" s="252">
        <v>0</v>
      </c>
      <c r="G45" s="253">
        <f>F45*(1+Hypotheses!H105)</f>
        <v>0</v>
      </c>
      <c r="H45" s="253">
        <f>G45*(1+Hypotheses!I105)</f>
        <v>0</v>
      </c>
      <c r="I45" s="253">
        <f>H45*(1+Hypotheses!J105)</f>
        <v>0</v>
      </c>
      <c r="J45" s="253">
        <f>I45*(1+Hypotheses!K105)</f>
        <v>0</v>
      </c>
      <c r="K45" s="1"/>
      <c r="L45" s="1"/>
      <c r="M45" s="1"/>
      <c r="N45" s="1"/>
      <c r="O45" s="1"/>
      <c r="P45" s="1"/>
      <c r="Q45" s="1"/>
      <c r="R45" s="1"/>
      <c r="S45" s="66"/>
      <c r="T45" s="1"/>
      <c r="U45" s="1"/>
      <c r="V45" s="1"/>
      <c r="W45" s="1"/>
      <c r="X45" s="1"/>
      <c r="Y45" s="1"/>
    </row>
    <row r="46" spans="1:25" ht="17.25" customHeight="1">
      <c r="A46" s="227"/>
      <c r="B46" s="228"/>
      <c r="C46" s="2"/>
      <c r="D46" s="89" t="str">
        <f>Hypotheses!D106</f>
        <v>Impôt et Taxes</v>
      </c>
      <c r="E46" s="85" t="str">
        <f>Hypotheses!$E$13</f>
        <v>XOF</v>
      </c>
      <c r="F46" s="252">
        <v>0</v>
      </c>
      <c r="G46" s="253">
        <f>+F46+(F46*Hypotheses!H106)</f>
        <v>0</v>
      </c>
      <c r="H46" s="253">
        <f>+G46+(G46*Hypotheses!I106)</f>
        <v>0</v>
      </c>
      <c r="I46" s="253">
        <f>+H46+(H46*Hypotheses!J106)</f>
        <v>0</v>
      </c>
      <c r="J46" s="253">
        <f>+I46+(I46*Hypotheses!K106)</f>
        <v>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7.25" customHeight="1">
      <c r="A47" s="227"/>
      <c r="B47" s="228"/>
      <c r="C47" s="2"/>
      <c r="D47" s="89" t="str">
        <f>Hypotheses!D107</f>
        <v>Autres charges</v>
      </c>
      <c r="E47" s="85" t="str">
        <f>Hypotheses!$E$13</f>
        <v>XOF</v>
      </c>
      <c r="F47" s="254">
        <v>0</v>
      </c>
      <c r="G47" s="253">
        <f>+F47+(F47*Hypotheses!H107)</f>
        <v>0</v>
      </c>
      <c r="H47" s="253">
        <f>+G47+(G47*Hypotheses!I107)</f>
        <v>0</v>
      </c>
      <c r="I47" s="253">
        <f>+H47+(H47*Hypotheses!J107)</f>
        <v>0</v>
      </c>
      <c r="J47" s="253">
        <f>+I47+(I47*Hypotheses!K107)</f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7.25" customHeight="1">
      <c r="A48" s="227"/>
      <c r="B48" s="228"/>
      <c r="C48" s="84" t="s">
        <v>216</v>
      </c>
      <c r="D48" s="2"/>
      <c r="E48" s="88" t="str">
        <f>Hypotheses!$E$13</f>
        <v>XOF</v>
      </c>
      <c r="F48" s="242">
        <f t="shared" ref="F48:J48" si="6">F32-F33-F43-F44-F45-F46-F47</f>
        <v>24235400</v>
      </c>
      <c r="G48" s="242">
        <f t="shared" si="6"/>
        <v>468754650</v>
      </c>
      <c r="H48" s="242">
        <f t="shared" si="6"/>
        <v>489969027.5</v>
      </c>
      <c r="I48" s="242">
        <f t="shared" si="6"/>
        <v>512616822.82500011</v>
      </c>
      <c r="J48" s="242">
        <f t="shared" si="6"/>
        <v>536848607.32474995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7.25" customHeight="1">
      <c r="A49" s="227"/>
      <c r="B49" s="228"/>
      <c r="C49" s="84"/>
      <c r="D49" s="89" t="s">
        <v>217</v>
      </c>
      <c r="E49" s="90"/>
      <c r="F49" s="240">
        <f t="shared" ref="F49:J49" si="7">SUM(F50:F51)</f>
        <v>4230000</v>
      </c>
      <c r="G49" s="246">
        <f t="shared" si="7"/>
        <v>4230000</v>
      </c>
      <c r="H49" s="246">
        <f t="shared" si="7"/>
        <v>4230000</v>
      </c>
      <c r="I49" s="246">
        <f t="shared" si="7"/>
        <v>4230000</v>
      </c>
      <c r="J49" s="246">
        <f t="shared" si="7"/>
        <v>4230000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</row>
    <row r="50" spans="1:25" ht="17.25" customHeight="1">
      <c r="A50" s="227"/>
      <c r="B50" s="228"/>
      <c r="C50" s="2"/>
      <c r="D50" s="99" t="s">
        <v>218</v>
      </c>
      <c r="E50" s="85"/>
      <c r="F50" s="241">
        <f>Amort_Immobilisation!G49</f>
        <v>4230000</v>
      </c>
      <c r="G50" s="241">
        <f>Amort_Immobilisation!H49</f>
        <v>4230000</v>
      </c>
      <c r="H50" s="241">
        <f>Amort_Immobilisation!I49</f>
        <v>4230000</v>
      </c>
      <c r="I50" s="241">
        <f>Amort_Immobilisation!J49</f>
        <v>4230000</v>
      </c>
      <c r="J50" s="241">
        <f>Amort_Immobilisation!K49</f>
        <v>4230000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7.25" customHeight="1">
      <c r="A51" s="227"/>
      <c r="B51" s="228"/>
      <c r="C51" s="2"/>
      <c r="D51" s="99" t="s">
        <v>219</v>
      </c>
      <c r="E51" s="85"/>
      <c r="F51" s="254"/>
      <c r="G51" s="254"/>
      <c r="H51" s="254"/>
      <c r="I51" s="254"/>
      <c r="J51" s="25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7.25" customHeight="1">
      <c r="A52" s="227"/>
      <c r="B52" s="228"/>
      <c r="C52" s="84" t="s">
        <v>220</v>
      </c>
      <c r="D52" s="2"/>
      <c r="E52" s="88" t="str">
        <f>Hypotheses!$E$13</f>
        <v>XOF</v>
      </c>
      <c r="F52" s="243">
        <f t="shared" ref="F52:J52" si="8">+F48-F49</f>
        <v>20005400</v>
      </c>
      <c r="G52" s="243">
        <f t="shared" si="8"/>
        <v>464524650</v>
      </c>
      <c r="H52" s="243">
        <f t="shared" si="8"/>
        <v>485739027.5</v>
      </c>
      <c r="I52" s="243">
        <f t="shared" si="8"/>
        <v>508386822.82500011</v>
      </c>
      <c r="J52" s="243">
        <f t="shared" si="8"/>
        <v>532618607.32474995</v>
      </c>
      <c r="K52" s="339"/>
      <c r="L52" s="339"/>
      <c r="M52" s="339"/>
      <c r="N52" s="339"/>
      <c r="O52" s="339"/>
      <c r="P52" s="339"/>
      <c r="Q52" s="339"/>
      <c r="R52" s="339"/>
      <c r="S52" s="339"/>
      <c r="T52" s="1"/>
      <c r="U52" s="1"/>
      <c r="V52" s="1"/>
      <c r="W52" s="1"/>
      <c r="X52" s="1"/>
      <c r="Y52" s="1"/>
    </row>
    <row r="53" spans="1:25" ht="17.25" customHeight="1">
      <c r="A53" s="227"/>
      <c r="B53" s="228"/>
      <c r="C53" s="2"/>
      <c r="D53" s="99" t="s">
        <v>221</v>
      </c>
      <c r="E53" s="85" t="str">
        <f>Hypotheses!$E$13</f>
        <v>XOF</v>
      </c>
      <c r="F53" s="253">
        <f>'TA _Invest'!J17+'TA _Exploitation'!J18</f>
        <v>6148649.5236855447</v>
      </c>
      <c r="G53" s="253">
        <f>'TA _Invest'!K17+'TA _Exploitation'!K18</f>
        <v>6705218.7267044876</v>
      </c>
      <c r="H53" s="253">
        <f>'TA _Invest'!L17+'TA _Exploitation'!L18</f>
        <v>7378644.1962187951</v>
      </c>
      <c r="I53" s="253">
        <f>'TA _Invest'!M17+'TA _Exploitation'!M18</f>
        <v>8194232.8003327046</v>
      </c>
      <c r="J53" s="253">
        <f>'TA _Invest'!N17+'TA _Exploitation'!N18</f>
        <v>9099971.4040225986</v>
      </c>
      <c r="K53" s="339"/>
      <c r="L53" s="339"/>
      <c r="M53" s="339"/>
      <c r="N53" s="339"/>
      <c r="O53" s="339"/>
      <c r="P53" s="339"/>
      <c r="Q53" s="339"/>
      <c r="R53" s="339"/>
      <c r="S53" s="339"/>
      <c r="T53" s="1"/>
      <c r="U53" s="1"/>
      <c r="V53" s="1"/>
      <c r="W53" s="1"/>
      <c r="X53" s="1"/>
      <c r="Y53" s="1"/>
    </row>
    <row r="54" spans="1:25" ht="17.25" customHeight="1">
      <c r="A54" s="227"/>
      <c r="B54" s="228"/>
      <c r="C54" s="84" t="s">
        <v>222</v>
      </c>
      <c r="D54" s="2"/>
      <c r="E54" s="88" t="str">
        <f>Hypotheses!$E$13</f>
        <v>XOF</v>
      </c>
      <c r="F54" s="243">
        <f t="shared" ref="F54:J54" si="9">F52-F53</f>
        <v>13856750.476314455</v>
      </c>
      <c r="G54" s="243">
        <f t="shared" si="9"/>
        <v>457819431.27329552</v>
      </c>
      <c r="H54" s="243">
        <f t="shared" si="9"/>
        <v>478360383.30378121</v>
      </c>
      <c r="I54" s="243">
        <f t="shared" si="9"/>
        <v>500192590.02466738</v>
      </c>
      <c r="J54" s="243">
        <f t="shared" si="9"/>
        <v>523518635.92072737</v>
      </c>
      <c r="K54" s="339"/>
      <c r="L54" s="339"/>
      <c r="M54" s="339"/>
      <c r="N54" s="339"/>
      <c r="O54" s="339"/>
      <c r="P54" s="339"/>
      <c r="Q54" s="339"/>
      <c r="R54" s="339"/>
      <c r="S54" s="339"/>
      <c r="T54" s="1"/>
      <c r="U54" s="1"/>
      <c r="V54" s="1"/>
      <c r="W54" s="1"/>
      <c r="X54" s="1"/>
      <c r="Y54" s="1"/>
    </row>
    <row r="55" spans="1:25" ht="17.25" customHeight="1">
      <c r="A55" s="227"/>
      <c r="B55" s="228"/>
      <c r="C55" s="2"/>
      <c r="D55" s="99" t="s">
        <v>223</v>
      </c>
      <c r="E55" s="85" t="str">
        <f>Hypotheses!$E$13</f>
        <v>XOF</v>
      </c>
      <c r="F55" s="253">
        <f>IF(F54&gt;0,F54*Taux_IS,500000)</f>
        <v>4157025.1428943365</v>
      </c>
      <c r="G55" s="253">
        <f>IF(G54&gt;0,G54*Taux_IS,500000)</f>
        <v>137345829.38198864</v>
      </c>
      <c r="H55" s="253">
        <f>IF(H54&gt;0,H54*Taux_IS,500000)</f>
        <v>143508114.99113435</v>
      </c>
      <c r="I55" s="253">
        <f>IF(I54&gt;0,I54*Taux_IS,500000)</f>
        <v>150057777.00740021</v>
      </c>
      <c r="J55" s="253">
        <f>IF(J54&gt;0,J54*Taux_IS,500000)</f>
        <v>157055590.77621821</v>
      </c>
      <c r="K55" s="339"/>
      <c r="L55" s="339"/>
      <c r="M55" s="339"/>
      <c r="N55" s="339"/>
      <c r="O55" s="339"/>
      <c r="P55" s="339"/>
      <c r="Q55" s="339"/>
      <c r="R55" s="339"/>
      <c r="S55" s="339"/>
      <c r="T55" s="1"/>
      <c r="U55" s="1"/>
      <c r="V55" s="1"/>
      <c r="W55" s="1"/>
      <c r="X55" s="1"/>
      <c r="Y55" s="1"/>
    </row>
    <row r="56" spans="1:25" ht="17.25" customHeight="1">
      <c r="A56" s="227"/>
      <c r="B56" s="228"/>
      <c r="C56" s="58" t="s">
        <v>224</v>
      </c>
      <c r="D56" s="59"/>
      <c r="E56" s="100" t="str">
        <f>Hypotheses!$E$13</f>
        <v>XOF</v>
      </c>
      <c r="F56" s="101">
        <f t="shared" ref="F56:J56" si="10">F54-F55</f>
        <v>9699725.3334201183</v>
      </c>
      <c r="G56" s="101">
        <f t="shared" si="10"/>
        <v>320473601.89130688</v>
      </c>
      <c r="H56" s="101">
        <f t="shared" si="10"/>
        <v>334852268.31264687</v>
      </c>
      <c r="I56" s="101">
        <f t="shared" si="10"/>
        <v>350134813.01726717</v>
      </c>
      <c r="J56" s="101">
        <f t="shared" si="10"/>
        <v>366463045.1445092</v>
      </c>
      <c r="K56" s="339"/>
      <c r="L56" s="339"/>
      <c r="M56" s="339"/>
      <c r="N56" s="339"/>
      <c r="O56" s="339"/>
      <c r="P56" s="339"/>
      <c r="Q56" s="339"/>
      <c r="R56" s="339"/>
      <c r="S56" s="339"/>
      <c r="T56" s="1"/>
      <c r="U56" s="1"/>
      <c r="V56" s="1"/>
      <c r="W56" s="1"/>
      <c r="X56" s="1"/>
      <c r="Y56" s="1"/>
    </row>
    <row r="57" spans="1:25" ht="17.25" customHeight="1">
      <c r="A57" s="227"/>
      <c r="B57" s="228"/>
      <c r="C57" s="1"/>
      <c r="D57" s="1"/>
      <c r="E57" s="1"/>
      <c r="F57" s="78"/>
      <c r="G57" s="78"/>
      <c r="H57" s="78"/>
      <c r="I57" s="78"/>
      <c r="J57" s="78"/>
      <c r="K57" s="339"/>
      <c r="L57" s="339"/>
      <c r="M57" s="339"/>
      <c r="N57" s="339"/>
      <c r="O57" s="339"/>
      <c r="P57" s="339"/>
      <c r="Q57" s="339"/>
      <c r="R57" s="339"/>
      <c r="S57" s="339"/>
      <c r="T57" s="1"/>
      <c r="U57" s="1"/>
      <c r="V57" s="1"/>
      <c r="W57" s="1"/>
      <c r="X57" s="1"/>
      <c r="Y57" s="1"/>
    </row>
    <row r="58" spans="1:25" ht="17.25" customHeight="1">
      <c r="A58" s="227"/>
      <c r="B58" s="228"/>
      <c r="C58" s="1"/>
      <c r="D58" s="1"/>
      <c r="E58" s="1"/>
      <c r="F58" s="78"/>
      <c r="G58" s="78"/>
      <c r="H58" s="78"/>
      <c r="I58" s="78"/>
      <c r="J58" s="78"/>
      <c r="K58" s="339"/>
      <c r="L58" s="339"/>
      <c r="M58" s="339"/>
      <c r="N58" s="339"/>
      <c r="O58" s="339"/>
      <c r="P58" s="339"/>
      <c r="Q58" s="339"/>
      <c r="R58" s="339"/>
      <c r="S58" s="339"/>
      <c r="T58" s="1"/>
      <c r="U58" s="1"/>
      <c r="V58" s="1"/>
      <c r="W58" s="1"/>
      <c r="X58" s="1"/>
      <c r="Y58" s="1"/>
    </row>
    <row r="59" spans="1:25" ht="17.25" customHeight="1">
      <c r="A59" s="227"/>
      <c r="B59" s="228"/>
      <c r="C59" s="1"/>
      <c r="D59" s="1"/>
      <c r="E59" s="1"/>
      <c r="F59" s="78"/>
      <c r="G59" s="78"/>
      <c r="H59" s="78"/>
      <c r="I59" s="78"/>
      <c r="J59" s="78"/>
      <c r="K59" s="339"/>
      <c r="L59" s="339"/>
      <c r="M59" s="339"/>
      <c r="N59" s="339"/>
      <c r="O59" s="339"/>
      <c r="P59" s="339"/>
      <c r="Q59" s="339"/>
      <c r="R59" s="339"/>
      <c r="S59" s="339"/>
      <c r="T59" s="1"/>
      <c r="U59" s="1"/>
      <c r="V59" s="1"/>
      <c r="W59" s="1"/>
      <c r="X59" s="1"/>
      <c r="Y59" s="1"/>
    </row>
    <row r="60" spans="1:25" ht="17.25" customHeight="1">
      <c r="A60" s="227"/>
      <c r="B60" s="228"/>
      <c r="C60" s="1"/>
      <c r="D60" s="1"/>
      <c r="E60" s="1"/>
      <c r="F60" s="78"/>
      <c r="G60" s="78"/>
      <c r="H60" s="78"/>
      <c r="I60" s="78"/>
      <c r="J60" s="78"/>
      <c r="K60" s="339"/>
      <c r="L60" s="339"/>
      <c r="M60" s="339"/>
      <c r="N60" s="339"/>
      <c r="O60" s="339"/>
      <c r="P60" s="339"/>
      <c r="Q60" s="339"/>
      <c r="R60" s="339"/>
      <c r="S60" s="339"/>
      <c r="T60" s="1"/>
      <c r="U60" s="1"/>
      <c r="V60" s="1"/>
      <c r="W60" s="1"/>
      <c r="X60" s="1"/>
      <c r="Y60" s="1"/>
    </row>
    <row r="61" spans="1:25" ht="17.25" customHeight="1">
      <c r="A61" s="227"/>
      <c r="B61" s="228"/>
      <c r="C61" s="1"/>
      <c r="D61" s="1"/>
      <c r="E61" s="1"/>
      <c r="F61" s="78"/>
      <c r="G61" s="78"/>
      <c r="H61" s="78"/>
      <c r="I61" s="78"/>
      <c r="J61" s="78"/>
      <c r="K61" s="339"/>
      <c r="L61" s="339"/>
      <c r="M61" s="339"/>
      <c r="N61" s="339"/>
      <c r="O61" s="339"/>
      <c r="P61" s="339"/>
      <c r="Q61" s="339"/>
      <c r="R61" s="339"/>
      <c r="S61" s="339"/>
      <c r="T61" s="1"/>
      <c r="U61" s="1"/>
      <c r="V61" s="1"/>
      <c r="W61" s="1"/>
      <c r="X61" s="1"/>
      <c r="Y61" s="1"/>
    </row>
    <row r="62" spans="1:25" ht="17.25" customHeight="1">
      <c r="A62" s="227"/>
      <c r="B62" s="228"/>
      <c r="C62" s="1"/>
      <c r="D62" s="1"/>
      <c r="E62" s="1"/>
      <c r="F62" s="78"/>
      <c r="G62" s="78"/>
      <c r="H62" s="78"/>
      <c r="I62" s="78"/>
      <c r="J62" s="78"/>
      <c r="K62" s="339"/>
      <c r="L62" s="339"/>
      <c r="M62" s="339"/>
      <c r="N62" s="339"/>
      <c r="O62" s="339"/>
      <c r="P62" s="339"/>
      <c r="Q62" s="339"/>
      <c r="R62" s="339"/>
      <c r="S62" s="339"/>
      <c r="T62" s="1"/>
      <c r="U62" s="1"/>
      <c r="V62" s="1"/>
      <c r="W62" s="1"/>
      <c r="X62" s="1"/>
      <c r="Y62" s="1"/>
    </row>
    <row r="63" spans="1:25" ht="17.25" customHeight="1">
      <c r="A63" s="227"/>
      <c r="B63" s="228"/>
      <c r="C63" s="1"/>
      <c r="D63" s="1"/>
      <c r="E63" s="1"/>
      <c r="F63" s="78"/>
      <c r="G63" s="78"/>
      <c r="H63" s="78"/>
      <c r="I63" s="78"/>
      <c r="J63" s="78"/>
      <c r="K63" s="339"/>
      <c r="L63" s="339"/>
      <c r="M63" s="339"/>
      <c r="N63" s="339"/>
      <c r="O63" s="339"/>
      <c r="P63" s="339"/>
      <c r="Q63" s="339"/>
      <c r="R63" s="339"/>
      <c r="S63" s="339"/>
      <c r="T63" s="1"/>
      <c r="U63" s="1"/>
      <c r="V63" s="1"/>
      <c r="W63" s="1"/>
      <c r="X63" s="1"/>
      <c r="Y63" s="1"/>
    </row>
    <row r="64" spans="1:25" ht="17.25" customHeight="1">
      <c r="A64" s="227"/>
      <c r="B64" s="228"/>
      <c r="C64" s="1"/>
      <c r="D64" s="1"/>
      <c r="E64" s="1"/>
      <c r="F64" s="78"/>
      <c r="G64" s="78"/>
      <c r="H64" s="78"/>
      <c r="I64" s="78"/>
      <c r="J64" s="78"/>
      <c r="K64" s="339"/>
      <c r="L64" s="339"/>
      <c r="M64" s="339"/>
      <c r="N64" s="339"/>
      <c r="O64" s="339"/>
      <c r="P64" s="339"/>
      <c r="Q64" s="339"/>
      <c r="R64" s="339"/>
      <c r="S64" s="339"/>
      <c r="T64" s="1"/>
      <c r="U64" s="1"/>
      <c r="V64" s="1"/>
      <c r="W64" s="1"/>
      <c r="X64" s="1"/>
      <c r="Y64" s="1"/>
    </row>
    <row r="65" spans="1:25" ht="17.25" customHeight="1">
      <c r="A65" s="227"/>
      <c r="B65" s="228"/>
      <c r="C65" s="1"/>
      <c r="D65" s="1"/>
      <c r="E65" s="1"/>
      <c r="F65" s="78"/>
      <c r="G65" s="78"/>
      <c r="H65" s="78"/>
      <c r="I65" s="78"/>
      <c r="J65" s="78"/>
      <c r="K65" s="339"/>
      <c r="L65" s="339"/>
      <c r="M65" s="339"/>
      <c r="N65" s="339"/>
      <c r="O65" s="339"/>
      <c r="P65" s="339"/>
      <c r="Q65" s="339"/>
      <c r="R65" s="339"/>
      <c r="S65" s="339"/>
      <c r="T65" s="1"/>
      <c r="U65" s="1"/>
      <c r="V65" s="1"/>
      <c r="W65" s="1"/>
      <c r="X65" s="1"/>
      <c r="Y65" s="1"/>
    </row>
    <row r="66" spans="1:25" ht="17.25" customHeight="1">
      <c r="A66" s="227"/>
      <c r="B66" s="228"/>
      <c r="C66" s="1"/>
      <c r="D66" s="1"/>
      <c r="E66" s="1"/>
      <c r="F66" s="78"/>
      <c r="G66" s="78"/>
      <c r="H66" s="78"/>
      <c r="I66" s="78"/>
      <c r="J66" s="78"/>
      <c r="K66" s="339"/>
      <c r="L66" s="339"/>
      <c r="M66" s="339"/>
      <c r="N66" s="339"/>
      <c r="O66" s="339"/>
      <c r="P66" s="339"/>
      <c r="Q66" s="339"/>
      <c r="R66" s="339"/>
      <c r="S66" s="339"/>
      <c r="T66" s="1"/>
      <c r="U66" s="1"/>
      <c r="V66" s="1"/>
      <c r="W66" s="1"/>
      <c r="X66" s="1"/>
      <c r="Y66" s="1"/>
    </row>
    <row r="67" spans="1:25" ht="17.25" customHeight="1">
      <c r="A67" s="227"/>
      <c r="B67" s="228"/>
      <c r="C67" s="1"/>
      <c r="D67" s="1"/>
      <c r="E67" s="1"/>
      <c r="F67" s="78"/>
      <c r="G67" s="78"/>
      <c r="H67" s="78"/>
      <c r="I67" s="78"/>
      <c r="J67" s="78"/>
      <c r="K67" s="339"/>
      <c r="L67" s="339"/>
      <c r="M67" s="339"/>
      <c r="N67" s="339"/>
      <c r="O67" s="339"/>
      <c r="P67" s="339"/>
      <c r="Q67" s="339"/>
      <c r="R67" s="339"/>
      <c r="S67" s="339"/>
      <c r="T67" s="1"/>
      <c r="U67" s="1"/>
      <c r="V67" s="1"/>
      <c r="W67" s="1"/>
      <c r="X67" s="1"/>
      <c r="Y67" s="1"/>
    </row>
    <row r="68" spans="1:25" ht="17.25" customHeight="1">
      <c r="A68" s="227"/>
      <c r="B68" s="228"/>
      <c r="C68" s="1"/>
      <c r="D68" s="1"/>
      <c r="E68" s="1"/>
      <c r="F68" s="78"/>
      <c r="G68" s="78"/>
      <c r="H68" s="78"/>
      <c r="I68" s="78"/>
      <c r="J68" s="78"/>
      <c r="K68" s="339"/>
      <c r="L68" s="339"/>
      <c r="M68" s="339"/>
      <c r="N68" s="339"/>
      <c r="O68" s="339"/>
      <c r="P68" s="339"/>
      <c r="Q68" s="339"/>
      <c r="R68" s="339"/>
      <c r="S68" s="339"/>
      <c r="T68" s="1"/>
      <c r="U68" s="1"/>
      <c r="V68" s="1"/>
      <c r="W68" s="1"/>
      <c r="X68" s="1"/>
      <c r="Y68" s="1"/>
    </row>
    <row r="69" spans="1:25" ht="17.25" customHeight="1">
      <c r="A69" s="227"/>
      <c r="B69" s="228"/>
      <c r="C69" s="1"/>
      <c r="D69" s="1"/>
      <c r="E69" s="1"/>
      <c r="F69" s="78"/>
      <c r="G69" s="78"/>
      <c r="H69" s="78"/>
      <c r="I69" s="78"/>
      <c r="J69" s="78"/>
      <c r="K69" s="339"/>
      <c r="L69" s="339"/>
      <c r="M69" s="339"/>
      <c r="N69" s="339"/>
      <c r="O69" s="339"/>
      <c r="P69" s="339"/>
      <c r="Q69" s="339"/>
      <c r="R69" s="339"/>
      <c r="S69" s="339"/>
      <c r="T69" s="1"/>
      <c r="U69" s="1"/>
      <c r="V69" s="1"/>
      <c r="W69" s="1"/>
      <c r="X69" s="1"/>
      <c r="Y69" s="1"/>
    </row>
    <row r="70" spans="1:25" ht="17.25" customHeight="1">
      <c r="A70" s="227"/>
      <c r="B70" s="228"/>
      <c r="C70" s="1"/>
      <c r="D70" s="1"/>
      <c r="E70" s="1"/>
      <c r="F70" s="78"/>
      <c r="G70" s="78"/>
      <c r="H70" s="78"/>
      <c r="I70" s="78"/>
      <c r="J70" s="78"/>
      <c r="K70" s="339"/>
      <c r="L70" s="339"/>
      <c r="M70" s="339"/>
      <c r="N70" s="339"/>
      <c r="O70" s="339"/>
      <c r="P70" s="339"/>
      <c r="Q70" s="339"/>
      <c r="R70" s="339"/>
      <c r="S70" s="339"/>
      <c r="T70" s="1"/>
      <c r="U70" s="1"/>
      <c r="V70" s="1"/>
      <c r="W70" s="1"/>
      <c r="X70" s="1"/>
      <c r="Y70" s="1"/>
    </row>
    <row r="71" spans="1:25" ht="17.25" customHeight="1">
      <c r="A71" s="227"/>
      <c r="B71" s="228"/>
      <c r="C71" s="1"/>
      <c r="D71" s="1"/>
      <c r="E71" s="1"/>
      <c r="F71" s="78"/>
      <c r="G71" s="78"/>
      <c r="H71" s="78"/>
      <c r="I71" s="78"/>
      <c r="J71" s="78"/>
      <c r="K71" s="339"/>
      <c r="L71" s="339"/>
      <c r="M71" s="339"/>
      <c r="N71" s="339"/>
      <c r="O71" s="339"/>
      <c r="P71" s="339"/>
      <c r="Q71" s="339"/>
      <c r="R71" s="339"/>
      <c r="S71" s="339"/>
      <c r="T71" s="1"/>
      <c r="U71" s="1"/>
      <c r="V71" s="1"/>
      <c r="W71" s="1"/>
      <c r="X71" s="1"/>
      <c r="Y71" s="1"/>
    </row>
    <row r="72" spans="1:25" ht="17.25" customHeight="1">
      <c r="A72" s="227"/>
      <c r="B72" s="228"/>
      <c r="C72" s="1"/>
      <c r="D72" s="1"/>
      <c r="E72" s="1"/>
      <c r="F72" s="78"/>
      <c r="G72" s="78"/>
      <c r="H72" s="78"/>
      <c r="I72" s="78"/>
      <c r="J72" s="78"/>
      <c r="K72" s="339"/>
      <c r="L72" s="339"/>
      <c r="M72" s="339"/>
      <c r="N72" s="339"/>
      <c r="O72" s="339"/>
      <c r="P72" s="339"/>
      <c r="Q72" s="339"/>
      <c r="R72" s="339"/>
      <c r="S72" s="339"/>
      <c r="T72" s="1"/>
      <c r="U72" s="1"/>
      <c r="V72" s="1"/>
      <c r="W72" s="1"/>
      <c r="X72" s="1"/>
      <c r="Y72" s="1"/>
    </row>
    <row r="73" spans="1:25" ht="17.25" customHeight="1">
      <c r="A73" s="227"/>
      <c r="B73" s="228"/>
      <c r="C73" s="1"/>
      <c r="D73" s="1"/>
      <c r="E73" s="1"/>
      <c r="F73" s="78"/>
      <c r="G73" s="78"/>
      <c r="H73" s="78"/>
      <c r="I73" s="78"/>
      <c r="J73" s="78"/>
      <c r="K73" s="339"/>
      <c r="L73" s="339"/>
      <c r="M73" s="339"/>
      <c r="N73" s="339"/>
      <c r="O73" s="339"/>
      <c r="P73" s="339"/>
      <c r="Q73" s="339"/>
      <c r="R73" s="339"/>
      <c r="S73" s="339"/>
      <c r="T73" s="1"/>
      <c r="U73" s="1"/>
      <c r="V73" s="1"/>
      <c r="W73" s="1"/>
      <c r="X73" s="1"/>
      <c r="Y73" s="1"/>
    </row>
    <row r="74" spans="1:25" ht="17.25" customHeight="1">
      <c r="A74" s="227"/>
      <c r="B74" s="228"/>
      <c r="C74" s="1"/>
      <c r="D74" s="1"/>
      <c r="E74" s="1"/>
      <c r="F74" s="78"/>
      <c r="G74" s="78"/>
      <c r="H74" s="78"/>
      <c r="I74" s="78"/>
      <c r="J74" s="78"/>
      <c r="K74" s="339"/>
      <c r="L74" s="339"/>
      <c r="M74" s="339"/>
      <c r="N74" s="339"/>
      <c r="O74" s="339"/>
      <c r="P74" s="339"/>
      <c r="Q74" s="339"/>
      <c r="R74" s="339"/>
      <c r="S74" s="339"/>
      <c r="T74" s="1"/>
      <c r="U74" s="1"/>
      <c r="V74" s="1"/>
      <c r="W74" s="1"/>
      <c r="X74" s="1"/>
      <c r="Y74" s="1"/>
    </row>
    <row r="75" spans="1:25" ht="17.25" customHeight="1">
      <c r="A75" s="227"/>
      <c r="B75" s="228"/>
      <c r="C75" s="1"/>
      <c r="D75" s="1"/>
      <c r="E75" s="1"/>
      <c r="F75" s="78"/>
      <c r="G75" s="78"/>
      <c r="H75" s="78"/>
      <c r="I75" s="78"/>
      <c r="J75" s="78"/>
      <c r="K75" s="339"/>
      <c r="L75" s="339"/>
      <c r="M75" s="339"/>
      <c r="N75" s="339"/>
      <c r="O75" s="339"/>
      <c r="P75" s="339"/>
      <c r="Q75" s="339"/>
      <c r="R75" s="339"/>
      <c r="S75" s="339"/>
      <c r="T75" s="1"/>
      <c r="U75" s="1"/>
      <c r="V75" s="1"/>
      <c r="W75" s="1"/>
      <c r="X75" s="1"/>
      <c r="Y75" s="1"/>
    </row>
    <row r="76" spans="1:25" ht="17.25" customHeight="1">
      <c r="A76" s="227"/>
      <c r="B76" s="228"/>
      <c r="C76" s="1"/>
      <c r="D76" s="1"/>
      <c r="E76" s="1"/>
      <c r="F76" s="78"/>
      <c r="G76" s="78"/>
      <c r="H76" s="78"/>
      <c r="I76" s="78"/>
      <c r="J76" s="78"/>
      <c r="K76" s="339"/>
      <c r="L76" s="339"/>
      <c r="M76" s="339"/>
      <c r="N76" s="339"/>
      <c r="O76" s="339"/>
      <c r="P76" s="339"/>
      <c r="Q76" s="339"/>
      <c r="R76" s="339"/>
      <c r="S76" s="339"/>
      <c r="T76" s="1"/>
      <c r="U76" s="1"/>
      <c r="V76" s="1"/>
      <c r="W76" s="1"/>
      <c r="X76" s="1"/>
      <c r="Y76" s="1"/>
    </row>
    <row r="77" spans="1:25" ht="17.25" customHeight="1">
      <c r="A77" s="227"/>
      <c r="B77" s="228"/>
      <c r="C77" s="1"/>
      <c r="D77" s="1"/>
      <c r="E77" s="1"/>
      <c r="F77" s="78"/>
      <c r="G77" s="78"/>
      <c r="H77" s="78"/>
      <c r="I77" s="78"/>
      <c r="J77" s="78"/>
      <c r="K77" s="339"/>
      <c r="L77" s="339"/>
      <c r="M77" s="339"/>
      <c r="N77" s="339"/>
      <c r="O77" s="339"/>
      <c r="P77" s="339"/>
      <c r="Q77" s="339"/>
      <c r="R77" s="339"/>
      <c r="S77" s="339"/>
      <c r="T77" s="1"/>
      <c r="U77" s="1"/>
      <c r="V77" s="1"/>
      <c r="W77" s="1"/>
      <c r="X77" s="1"/>
      <c r="Y77" s="1"/>
    </row>
    <row r="78" spans="1:25" ht="17.25" customHeight="1">
      <c r="A78" s="227"/>
      <c r="B78" s="228"/>
      <c r="C78" s="1"/>
      <c r="D78" s="1"/>
      <c r="E78" s="1"/>
      <c r="F78" s="78"/>
      <c r="G78" s="78"/>
      <c r="H78" s="78"/>
      <c r="I78" s="78"/>
      <c r="J78" s="78"/>
      <c r="K78" s="339"/>
      <c r="L78" s="339"/>
      <c r="M78" s="339"/>
      <c r="N78" s="339"/>
      <c r="O78" s="339"/>
      <c r="P78" s="339"/>
      <c r="Q78" s="339"/>
      <c r="R78" s="339"/>
      <c r="S78" s="339"/>
      <c r="T78" s="1"/>
      <c r="U78" s="1"/>
      <c r="V78" s="1"/>
      <c r="W78" s="1"/>
      <c r="X78" s="1"/>
      <c r="Y78" s="1"/>
    </row>
    <row r="79" spans="1:25" ht="17.25" customHeight="1">
      <c r="A79" s="227"/>
      <c r="B79" s="228"/>
      <c r="C79" s="1"/>
      <c r="D79" s="1"/>
      <c r="E79" s="1"/>
      <c r="F79" s="78"/>
      <c r="G79" s="78"/>
      <c r="H79" s="78"/>
      <c r="I79" s="78"/>
      <c r="J79" s="78"/>
      <c r="K79" s="339"/>
      <c r="L79" s="339"/>
      <c r="M79" s="339"/>
      <c r="N79" s="339"/>
      <c r="O79" s="339"/>
      <c r="P79" s="339"/>
      <c r="Q79" s="339"/>
      <c r="R79" s="339"/>
      <c r="S79" s="339"/>
      <c r="T79" s="1"/>
      <c r="U79" s="1"/>
      <c r="V79" s="1"/>
      <c r="W79" s="1"/>
      <c r="X79" s="1"/>
      <c r="Y79" s="1"/>
    </row>
    <row r="80" spans="1:25" ht="17.25" customHeight="1">
      <c r="A80" s="227"/>
      <c r="B80" s="228"/>
      <c r="C80" s="1"/>
      <c r="D80" s="1"/>
      <c r="E80" s="1"/>
      <c r="F80" s="78"/>
      <c r="G80" s="78"/>
      <c r="H80" s="78"/>
      <c r="I80" s="78"/>
      <c r="J80" s="78"/>
      <c r="K80" s="339"/>
      <c r="L80" s="339"/>
      <c r="M80" s="339"/>
      <c r="N80" s="339"/>
      <c r="O80" s="339"/>
      <c r="P80" s="339"/>
      <c r="Q80" s="339"/>
      <c r="R80" s="339"/>
      <c r="S80" s="339"/>
      <c r="T80" s="1"/>
      <c r="U80" s="1"/>
      <c r="V80" s="1"/>
      <c r="W80" s="1"/>
      <c r="X80" s="1"/>
      <c r="Y80" s="1"/>
    </row>
    <row r="81" spans="1:25" ht="17.25" customHeight="1">
      <c r="A81" s="227"/>
      <c r="B81" s="228"/>
      <c r="C81" s="1"/>
      <c r="D81" s="1"/>
      <c r="E81" s="1"/>
      <c r="F81" s="78"/>
      <c r="G81" s="78"/>
      <c r="H81" s="78"/>
      <c r="I81" s="78"/>
      <c r="J81" s="78"/>
      <c r="K81" s="339"/>
      <c r="L81" s="339"/>
      <c r="M81" s="339"/>
      <c r="N81" s="339"/>
      <c r="O81" s="339"/>
      <c r="P81" s="339"/>
      <c r="Q81" s="339"/>
      <c r="R81" s="339"/>
      <c r="S81" s="339"/>
      <c r="T81" s="1"/>
      <c r="U81" s="1"/>
      <c r="V81" s="1"/>
      <c r="W81" s="1"/>
      <c r="X81" s="1"/>
      <c r="Y81" s="1"/>
    </row>
    <row r="82" spans="1:25" ht="17.25" customHeight="1">
      <c r="A82" s="227"/>
      <c r="B82" s="228"/>
      <c r="C82" s="1"/>
      <c r="D82" s="1"/>
      <c r="E82" s="1"/>
      <c r="F82" s="78"/>
      <c r="G82" s="78"/>
      <c r="H82" s="78"/>
      <c r="I82" s="78"/>
      <c r="J82" s="78"/>
      <c r="K82" s="339"/>
      <c r="L82" s="339"/>
      <c r="M82" s="339"/>
      <c r="N82" s="339"/>
      <c r="O82" s="339"/>
      <c r="P82" s="339"/>
      <c r="Q82" s="339"/>
      <c r="R82" s="339"/>
      <c r="S82" s="339"/>
      <c r="T82" s="1"/>
      <c r="U82" s="1"/>
      <c r="V82" s="1"/>
      <c r="W82" s="1"/>
      <c r="X82" s="1"/>
      <c r="Y82" s="1"/>
    </row>
    <row r="83" spans="1:25" ht="17.25" customHeight="1">
      <c r="A83" s="227"/>
      <c r="B83" s="228"/>
      <c r="C83" s="1"/>
      <c r="D83" s="1"/>
      <c r="E83" s="1"/>
      <c r="F83" s="78"/>
      <c r="G83" s="78"/>
      <c r="H83" s="78"/>
      <c r="I83" s="78"/>
      <c r="J83" s="78"/>
      <c r="K83" s="339"/>
      <c r="L83" s="339"/>
      <c r="M83" s="339"/>
      <c r="N83" s="339"/>
      <c r="O83" s="339"/>
      <c r="P83" s="339"/>
      <c r="Q83" s="339"/>
      <c r="R83" s="339"/>
      <c r="S83" s="339"/>
      <c r="T83" s="1"/>
      <c r="U83" s="1"/>
      <c r="V83" s="1"/>
      <c r="W83" s="1"/>
      <c r="X83" s="1"/>
      <c r="Y83" s="1"/>
    </row>
    <row r="84" spans="1:25" ht="17.25" customHeight="1">
      <c r="A84" s="227"/>
      <c r="B84" s="228"/>
      <c r="C84" s="1"/>
      <c r="D84" s="1"/>
      <c r="E84" s="1"/>
      <c r="F84" s="78"/>
      <c r="G84" s="78"/>
      <c r="H84" s="78"/>
      <c r="I84" s="78"/>
      <c r="J84" s="78"/>
      <c r="K84" s="339"/>
      <c r="L84" s="339"/>
      <c r="M84" s="339"/>
      <c r="N84" s="339"/>
      <c r="O84" s="339"/>
      <c r="P84" s="339"/>
      <c r="Q84" s="339"/>
      <c r="R84" s="339"/>
      <c r="S84" s="339"/>
      <c r="T84" s="1"/>
      <c r="U84" s="1"/>
      <c r="V84" s="1"/>
      <c r="W84" s="1"/>
      <c r="X84" s="1"/>
      <c r="Y84" s="1"/>
    </row>
    <row r="85" spans="1:25" ht="17.25" customHeight="1">
      <c r="A85" s="227"/>
      <c r="B85" s="228"/>
      <c r="C85" s="1"/>
      <c r="D85" s="1"/>
      <c r="E85" s="1"/>
      <c r="F85" s="78"/>
      <c r="G85" s="78"/>
      <c r="H85" s="78"/>
      <c r="I85" s="78"/>
      <c r="J85" s="78"/>
      <c r="K85" s="339"/>
      <c r="L85" s="339"/>
      <c r="M85" s="339"/>
      <c r="N85" s="339"/>
      <c r="O85" s="339"/>
      <c r="P85" s="339"/>
      <c r="Q85" s="339"/>
      <c r="R85" s="339"/>
      <c r="S85" s="339"/>
      <c r="T85" s="1"/>
      <c r="U85" s="1"/>
      <c r="V85" s="1"/>
      <c r="W85" s="1"/>
      <c r="X85" s="1"/>
      <c r="Y85" s="1"/>
    </row>
    <row r="86" spans="1:25" ht="17.25" customHeight="1">
      <c r="A86" s="227"/>
      <c r="B86" s="228"/>
      <c r="C86" s="1"/>
      <c r="D86" s="1"/>
      <c r="E86" s="1"/>
      <c r="F86" s="78"/>
      <c r="G86" s="78"/>
      <c r="H86" s="78"/>
      <c r="I86" s="78"/>
      <c r="J86" s="78"/>
      <c r="K86" s="339"/>
      <c r="L86" s="339"/>
      <c r="M86" s="339"/>
      <c r="N86" s="339"/>
      <c r="O86" s="339"/>
      <c r="P86" s="339"/>
      <c r="Q86" s="339"/>
      <c r="R86" s="339"/>
      <c r="S86" s="339"/>
      <c r="T86" s="1"/>
      <c r="U86" s="1"/>
      <c r="V86" s="1"/>
      <c r="W86" s="1"/>
      <c r="X86" s="1"/>
      <c r="Y86" s="1"/>
    </row>
    <row r="87" spans="1:25" ht="17.25" customHeight="1">
      <c r="A87" s="227"/>
      <c r="B87" s="228"/>
      <c r="C87" s="1"/>
      <c r="D87" s="1"/>
      <c r="E87" s="1"/>
      <c r="F87" s="78"/>
      <c r="G87" s="78"/>
      <c r="H87" s="78"/>
      <c r="I87" s="78"/>
      <c r="J87" s="78"/>
      <c r="K87" s="339"/>
      <c r="L87" s="339"/>
      <c r="M87" s="339"/>
      <c r="N87" s="339"/>
      <c r="O87" s="339"/>
      <c r="P87" s="339"/>
      <c r="Q87" s="339"/>
      <c r="R87" s="339"/>
      <c r="S87" s="339"/>
      <c r="T87" s="1"/>
      <c r="U87" s="1"/>
      <c r="V87" s="1"/>
      <c r="W87" s="1"/>
      <c r="X87" s="1"/>
      <c r="Y87" s="1"/>
    </row>
    <row r="88" spans="1:25" ht="17.25" customHeight="1">
      <c r="A88" s="227"/>
      <c r="B88" s="228"/>
      <c r="C88" s="1"/>
      <c r="D88" s="1"/>
      <c r="E88" s="1"/>
      <c r="F88" s="78"/>
      <c r="G88" s="78"/>
      <c r="H88" s="78"/>
      <c r="I88" s="78"/>
      <c r="J88" s="78"/>
      <c r="K88" s="339"/>
      <c r="L88" s="339"/>
      <c r="M88" s="339"/>
      <c r="N88" s="339"/>
      <c r="O88" s="339"/>
      <c r="P88" s="339"/>
      <c r="Q88" s="339"/>
      <c r="R88" s="339"/>
      <c r="S88" s="339"/>
      <c r="T88" s="1"/>
      <c r="U88" s="1"/>
      <c r="V88" s="1"/>
      <c r="W88" s="1"/>
      <c r="X88" s="1"/>
      <c r="Y88" s="1"/>
    </row>
    <row r="89" spans="1:25" ht="17.25" customHeight="1">
      <c r="A89" s="227"/>
      <c r="B89" s="228"/>
      <c r="C89" s="1"/>
      <c r="D89" s="1"/>
      <c r="E89" s="1"/>
      <c r="F89" s="78"/>
      <c r="G89" s="78"/>
      <c r="H89" s="78"/>
      <c r="I89" s="78"/>
      <c r="J89" s="78"/>
      <c r="K89" s="339"/>
      <c r="L89" s="339"/>
      <c r="M89" s="339"/>
      <c r="N89" s="339"/>
      <c r="O89" s="339"/>
      <c r="P89" s="339"/>
      <c r="Q89" s="339"/>
      <c r="R89" s="339"/>
      <c r="S89" s="339"/>
      <c r="T89" s="1"/>
      <c r="U89" s="1"/>
      <c r="V89" s="1"/>
      <c r="W89" s="1"/>
      <c r="X89" s="1"/>
      <c r="Y89" s="1"/>
    </row>
    <row r="90" spans="1:25" ht="17.25" customHeight="1">
      <c r="A90" s="227"/>
      <c r="B90" s="228"/>
      <c r="C90" s="1"/>
      <c r="D90" s="1"/>
      <c r="E90" s="1"/>
      <c r="F90" s="78"/>
      <c r="G90" s="78"/>
      <c r="H90" s="78"/>
      <c r="I90" s="78"/>
      <c r="J90" s="78"/>
      <c r="K90" s="339"/>
      <c r="L90" s="339"/>
      <c r="M90" s="339"/>
      <c r="N90" s="339"/>
      <c r="O90" s="339"/>
      <c r="P90" s="339"/>
      <c r="Q90" s="339"/>
      <c r="R90" s="339"/>
      <c r="S90" s="339"/>
      <c r="T90" s="1"/>
      <c r="U90" s="1"/>
      <c r="V90" s="1"/>
      <c r="W90" s="1"/>
      <c r="X90" s="1"/>
      <c r="Y90" s="1"/>
    </row>
    <row r="91" spans="1:25" ht="17.25" customHeight="1">
      <c r="A91" s="227"/>
      <c r="B91" s="228"/>
      <c r="C91" s="1"/>
      <c r="D91" s="1"/>
      <c r="E91" s="1"/>
      <c r="F91" s="78"/>
      <c r="G91" s="78"/>
      <c r="H91" s="78"/>
      <c r="I91" s="78"/>
      <c r="J91" s="78"/>
      <c r="K91" s="339"/>
      <c r="L91" s="339"/>
      <c r="M91" s="339"/>
      <c r="N91" s="339"/>
      <c r="O91" s="339"/>
      <c r="P91" s="339"/>
      <c r="Q91" s="339"/>
      <c r="R91" s="339"/>
      <c r="S91" s="339"/>
      <c r="T91" s="1"/>
      <c r="U91" s="1"/>
      <c r="V91" s="1"/>
      <c r="W91" s="1"/>
      <c r="X91" s="1"/>
      <c r="Y91" s="1"/>
    </row>
    <row r="92" spans="1:25" ht="17.25" customHeight="1">
      <c r="A92" s="227"/>
      <c r="B92" s="228"/>
      <c r="C92" s="1"/>
      <c r="D92" s="1"/>
      <c r="E92" s="1"/>
      <c r="F92" s="78"/>
      <c r="G92" s="78"/>
      <c r="H92" s="78"/>
      <c r="I92" s="78"/>
      <c r="J92" s="78"/>
      <c r="K92" s="339"/>
      <c r="L92" s="339"/>
      <c r="M92" s="339"/>
      <c r="N92" s="339"/>
      <c r="O92" s="339"/>
      <c r="P92" s="339"/>
      <c r="Q92" s="339"/>
      <c r="R92" s="339"/>
      <c r="S92" s="339"/>
      <c r="T92" s="1"/>
      <c r="U92" s="1"/>
      <c r="V92" s="1"/>
      <c r="W92" s="1"/>
      <c r="X92" s="1"/>
      <c r="Y92" s="1"/>
    </row>
    <row r="93" spans="1:25" ht="17.25" customHeight="1">
      <c r="A93" s="227"/>
      <c r="B93" s="228"/>
      <c r="C93" s="1"/>
      <c r="D93" s="1"/>
      <c r="E93" s="1"/>
      <c r="F93" s="78"/>
      <c r="G93" s="78"/>
      <c r="H93" s="78"/>
      <c r="I93" s="78"/>
      <c r="J93" s="78"/>
      <c r="K93" s="339"/>
      <c r="L93" s="339"/>
      <c r="M93" s="339"/>
      <c r="N93" s="339"/>
      <c r="O93" s="339"/>
      <c r="P93" s="339"/>
      <c r="Q93" s="339"/>
      <c r="R93" s="339"/>
      <c r="S93" s="339"/>
      <c r="T93" s="1"/>
      <c r="U93" s="1"/>
      <c r="V93" s="1"/>
      <c r="W93" s="1"/>
      <c r="X93" s="1"/>
      <c r="Y93" s="1"/>
    </row>
    <row r="94" spans="1:25" ht="17.25" customHeight="1">
      <c r="A94" s="227"/>
      <c r="B94" s="228"/>
      <c r="C94" s="1"/>
      <c r="D94" s="1"/>
      <c r="E94" s="1"/>
      <c r="F94" s="78"/>
      <c r="G94" s="78"/>
      <c r="H94" s="78"/>
      <c r="I94" s="78"/>
      <c r="J94" s="78"/>
      <c r="K94" s="339"/>
      <c r="L94" s="339"/>
      <c r="M94" s="339"/>
      <c r="N94" s="339"/>
      <c r="O94" s="339"/>
      <c r="P94" s="339"/>
      <c r="Q94" s="339"/>
      <c r="R94" s="339"/>
      <c r="S94" s="339"/>
      <c r="T94" s="1"/>
      <c r="U94" s="1"/>
      <c r="V94" s="1"/>
      <c r="W94" s="1"/>
      <c r="X94" s="1"/>
      <c r="Y94" s="1"/>
    </row>
    <row r="95" spans="1:25" ht="17.25" customHeight="1">
      <c r="A95" s="227"/>
      <c r="B95" s="228"/>
      <c r="C95" s="1"/>
      <c r="D95" s="1"/>
      <c r="E95" s="1"/>
      <c r="F95" s="78"/>
      <c r="G95" s="78"/>
      <c r="H95" s="78"/>
      <c r="I95" s="78"/>
      <c r="J95" s="78"/>
      <c r="K95" s="339"/>
      <c r="L95" s="339"/>
      <c r="M95" s="339"/>
      <c r="N95" s="339"/>
      <c r="O95" s="339"/>
      <c r="P95" s="339"/>
      <c r="Q95" s="339"/>
      <c r="R95" s="339"/>
      <c r="S95" s="339"/>
      <c r="T95" s="1"/>
      <c r="U95" s="1"/>
      <c r="V95" s="1"/>
      <c r="W95" s="1"/>
      <c r="X95" s="1"/>
      <c r="Y95" s="1"/>
    </row>
    <row r="96" spans="1:25" ht="17.25" customHeight="1">
      <c r="A96" s="227"/>
      <c r="B96" s="228"/>
      <c r="C96" s="1"/>
      <c r="D96" s="1"/>
      <c r="E96" s="1"/>
      <c r="F96" s="78"/>
      <c r="G96" s="78"/>
      <c r="H96" s="78"/>
      <c r="I96" s="78"/>
      <c r="J96" s="78"/>
      <c r="K96" s="339"/>
      <c r="L96" s="339"/>
      <c r="M96" s="339"/>
      <c r="N96" s="339"/>
      <c r="O96" s="339"/>
      <c r="P96" s="339"/>
      <c r="Q96" s="339"/>
      <c r="R96" s="339"/>
      <c r="S96" s="339"/>
      <c r="T96" s="1"/>
      <c r="U96" s="1"/>
      <c r="V96" s="1"/>
      <c r="W96" s="1"/>
      <c r="X96" s="1"/>
      <c r="Y96" s="1"/>
    </row>
    <row r="97" spans="1:25" ht="17.25" customHeight="1">
      <c r="A97" s="227"/>
      <c r="B97" s="228"/>
      <c r="C97" s="1"/>
      <c r="D97" s="1"/>
      <c r="E97" s="1"/>
      <c r="F97" s="78"/>
      <c r="G97" s="78"/>
      <c r="H97" s="78"/>
      <c r="I97" s="78"/>
      <c r="J97" s="78"/>
      <c r="K97" s="339"/>
      <c r="L97" s="339"/>
      <c r="M97" s="339"/>
      <c r="N97" s="339"/>
      <c r="O97" s="339"/>
      <c r="P97" s="339"/>
      <c r="Q97" s="339"/>
      <c r="R97" s="339"/>
      <c r="S97" s="339"/>
      <c r="T97" s="1"/>
      <c r="U97" s="1"/>
      <c r="V97" s="1"/>
      <c r="W97" s="1"/>
      <c r="X97" s="1"/>
      <c r="Y97" s="1"/>
    </row>
    <row r="98" spans="1:25" ht="17.25" customHeight="1">
      <c r="A98" s="227"/>
      <c r="B98" s="228"/>
      <c r="C98" s="1"/>
      <c r="D98" s="1"/>
      <c r="E98" s="1"/>
      <c r="F98" s="78"/>
      <c r="G98" s="78"/>
      <c r="H98" s="78"/>
      <c r="I98" s="78"/>
      <c r="J98" s="78"/>
      <c r="K98" s="339"/>
      <c r="L98" s="339"/>
      <c r="M98" s="339"/>
      <c r="N98" s="339"/>
      <c r="O98" s="339"/>
      <c r="P98" s="339"/>
      <c r="Q98" s="339"/>
      <c r="R98" s="339"/>
      <c r="S98" s="339"/>
      <c r="T98" s="1"/>
      <c r="U98" s="1"/>
      <c r="V98" s="1"/>
      <c r="W98" s="1"/>
      <c r="X98" s="1"/>
      <c r="Y98" s="1"/>
    </row>
    <row r="99" spans="1:25" ht="17.25" customHeight="1">
      <c r="A99" s="227"/>
      <c r="B99" s="228"/>
      <c r="C99" s="1"/>
      <c r="D99" s="1"/>
      <c r="E99" s="1"/>
      <c r="F99" s="78"/>
      <c r="G99" s="78"/>
      <c r="H99" s="78"/>
      <c r="I99" s="78"/>
      <c r="J99" s="78"/>
      <c r="K99" s="339"/>
      <c r="L99" s="339"/>
      <c r="M99" s="339"/>
      <c r="N99" s="339"/>
      <c r="O99" s="339"/>
      <c r="P99" s="339"/>
      <c r="Q99" s="339"/>
      <c r="R99" s="339"/>
      <c r="S99" s="339"/>
      <c r="T99" s="1"/>
      <c r="U99" s="1"/>
      <c r="V99" s="1"/>
      <c r="W99" s="1"/>
      <c r="X99" s="1"/>
      <c r="Y99" s="1"/>
    </row>
    <row r="100" spans="1:25" ht="17.25" customHeight="1">
      <c r="A100" s="227"/>
      <c r="B100" s="228"/>
      <c r="C100" s="1"/>
      <c r="D100" s="1"/>
      <c r="E100" s="1"/>
      <c r="F100" s="78"/>
      <c r="G100" s="78"/>
      <c r="H100" s="78"/>
      <c r="I100" s="78"/>
      <c r="J100" s="78"/>
      <c r="K100" s="339"/>
      <c r="L100" s="339"/>
      <c r="M100" s="339"/>
      <c r="N100" s="339"/>
      <c r="O100" s="339"/>
      <c r="P100" s="339"/>
      <c r="Q100" s="339"/>
      <c r="R100" s="339"/>
      <c r="S100" s="339"/>
      <c r="T100" s="1"/>
      <c r="U100" s="1"/>
      <c r="V100" s="1"/>
      <c r="W100" s="1"/>
      <c r="X100" s="1"/>
      <c r="Y100" s="1"/>
    </row>
    <row r="101" spans="1:25" ht="17.25" customHeight="1">
      <c r="A101" s="227"/>
      <c r="B101" s="228"/>
      <c r="C101" s="1"/>
      <c r="D101" s="1"/>
      <c r="E101" s="1"/>
      <c r="F101" s="78"/>
      <c r="G101" s="78"/>
      <c r="H101" s="78"/>
      <c r="I101" s="78"/>
      <c r="J101" s="78"/>
      <c r="K101" s="339"/>
      <c r="L101" s="339"/>
      <c r="M101" s="339"/>
      <c r="N101" s="339"/>
      <c r="O101" s="339"/>
      <c r="P101" s="339"/>
      <c r="Q101" s="339"/>
      <c r="R101" s="339"/>
      <c r="S101" s="339"/>
      <c r="T101" s="1"/>
      <c r="U101" s="1"/>
      <c r="V101" s="1"/>
      <c r="W101" s="1"/>
      <c r="X101" s="1"/>
      <c r="Y101" s="1"/>
    </row>
    <row r="102" spans="1:25" ht="17.25" customHeight="1">
      <c r="A102" s="227"/>
      <c r="B102" s="228"/>
      <c r="C102" s="1"/>
      <c r="D102" s="1"/>
      <c r="E102" s="1"/>
      <c r="F102" s="78"/>
      <c r="G102" s="78"/>
      <c r="H102" s="78"/>
      <c r="I102" s="78"/>
      <c r="J102" s="78"/>
      <c r="K102" s="339"/>
      <c r="L102" s="339"/>
      <c r="M102" s="339"/>
      <c r="N102" s="339"/>
      <c r="O102" s="339"/>
      <c r="P102" s="339"/>
      <c r="Q102" s="339"/>
      <c r="R102" s="339"/>
      <c r="S102" s="339"/>
      <c r="T102" s="1"/>
      <c r="U102" s="1"/>
      <c r="V102" s="1"/>
      <c r="W102" s="1"/>
      <c r="X102" s="1"/>
      <c r="Y102" s="1"/>
    </row>
    <row r="103" spans="1:25" ht="17.25" customHeight="1">
      <c r="A103" s="227"/>
      <c r="B103" s="228"/>
      <c r="C103" s="1"/>
      <c r="D103" s="1"/>
      <c r="E103" s="1"/>
      <c r="F103" s="78"/>
      <c r="G103" s="78"/>
      <c r="H103" s="78"/>
      <c r="I103" s="78"/>
      <c r="J103" s="78"/>
      <c r="K103" s="339"/>
      <c r="L103" s="339"/>
      <c r="M103" s="339"/>
      <c r="N103" s="339"/>
      <c r="O103" s="339"/>
      <c r="P103" s="339"/>
      <c r="Q103" s="339"/>
      <c r="R103" s="339"/>
      <c r="S103" s="339"/>
      <c r="T103" s="1"/>
      <c r="U103" s="1"/>
      <c r="V103" s="1"/>
      <c r="W103" s="1"/>
      <c r="X103" s="1"/>
      <c r="Y103" s="1"/>
    </row>
    <row r="104" spans="1:25" ht="17.25" customHeight="1">
      <c r="A104" s="227"/>
      <c r="B104" s="228"/>
      <c r="C104" s="1"/>
      <c r="D104" s="1"/>
      <c r="E104" s="1"/>
      <c r="F104" s="78"/>
      <c r="G104" s="78"/>
      <c r="H104" s="78"/>
      <c r="I104" s="78"/>
      <c r="J104" s="78"/>
      <c r="K104" s="339"/>
      <c r="L104" s="339"/>
      <c r="M104" s="339"/>
      <c r="N104" s="339"/>
      <c r="O104" s="339"/>
      <c r="P104" s="339"/>
      <c r="Q104" s="339"/>
      <c r="R104" s="339"/>
      <c r="S104" s="339"/>
      <c r="T104" s="1"/>
      <c r="U104" s="1"/>
      <c r="V104" s="1"/>
      <c r="W104" s="1"/>
      <c r="X104" s="1"/>
      <c r="Y104" s="1"/>
    </row>
    <row r="105" spans="1:25" ht="17.25" customHeight="1">
      <c r="A105" s="227"/>
      <c r="B105" s="228"/>
      <c r="C105" s="1"/>
      <c r="D105" s="1"/>
      <c r="E105" s="1"/>
      <c r="F105" s="78"/>
      <c r="G105" s="78"/>
      <c r="H105" s="78"/>
      <c r="I105" s="78"/>
      <c r="J105" s="78"/>
      <c r="K105" s="339"/>
      <c r="L105" s="339"/>
      <c r="M105" s="339"/>
      <c r="N105" s="339"/>
      <c r="O105" s="339"/>
      <c r="P105" s="339"/>
      <c r="Q105" s="339"/>
      <c r="R105" s="339"/>
      <c r="S105" s="339"/>
      <c r="T105" s="1"/>
      <c r="U105" s="1"/>
      <c r="V105" s="1"/>
      <c r="W105" s="1"/>
      <c r="X105" s="1"/>
      <c r="Y105" s="1"/>
    </row>
    <row r="106" spans="1:25" ht="17.25" customHeight="1">
      <c r="A106" s="227"/>
      <c r="B106" s="228"/>
      <c r="C106" s="1"/>
      <c r="D106" s="1"/>
      <c r="E106" s="1"/>
      <c r="F106" s="78"/>
      <c r="G106" s="78"/>
      <c r="H106" s="78"/>
      <c r="I106" s="78"/>
      <c r="J106" s="78"/>
      <c r="K106" s="339"/>
      <c r="L106" s="339"/>
      <c r="M106" s="339"/>
      <c r="N106" s="339"/>
      <c r="O106" s="339"/>
      <c r="P106" s="339"/>
      <c r="Q106" s="339"/>
      <c r="R106" s="339"/>
      <c r="S106" s="339"/>
      <c r="T106" s="1"/>
      <c r="U106" s="1"/>
      <c r="V106" s="1"/>
      <c r="W106" s="1"/>
      <c r="X106" s="1"/>
      <c r="Y106" s="1"/>
    </row>
    <row r="107" spans="1:25" ht="17.25" customHeight="1">
      <c r="A107" s="227"/>
      <c r="B107" s="228"/>
      <c r="C107" s="1"/>
      <c r="D107" s="1"/>
      <c r="E107" s="1"/>
      <c r="F107" s="78"/>
      <c r="G107" s="78"/>
      <c r="H107" s="78"/>
      <c r="I107" s="78"/>
      <c r="J107" s="78"/>
      <c r="K107" s="339"/>
      <c r="L107" s="339"/>
      <c r="M107" s="339"/>
      <c r="N107" s="339"/>
      <c r="O107" s="339"/>
      <c r="P107" s="339"/>
      <c r="Q107" s="339"/>
      <c r="R107" s="339"/>
      <c r="S107" s="339"/>
      <c r="T107" s="1"/>
      <c r="U107" s="1"/>
      <c r="V107" s="1"/>
      <c r="W107" s="1"/>
      <c r="X107" s="1"/>
      <c r="Y107" s="1"/>
    </row>
    <row r="108" spans="1:25" ht="17.25" customHeight="1">
      <c r="A108" s="227"/>
      <c r="B108" s="228"/>
      <c r="C108" s="1"/>
      <c r="D108" s="1"/>
      <c r="E108" s="1"/>
      <c r="F108" s="78"/>
      <c r="G108" s="78"/>
      <c r="H108" s="78"/>
      <c r="I108" s="78"/>
      <c r="J108" s="78"/>
      <c r="K108" s="339"/>
      <c r="L108" s="339"/>
      <c r="M108" s="339"/>
      <c r="N108" s="339"/>
      <c r="O108" s="339"/>
      <c r="P108" s="339"/>
      <c r="Q108" s="339"/>
      <c r="R108" s="339"/>
      <c r="S108" s="339"/>
      <c r="T108" s="1"/>
      <c r="U108" s="1"/>
      <c r="V108" s="1"/>
      <c r="W108" s="1"/>
      <c r="X108" s="1"/>
      <c r="Y108" s="1"/>
    </row>
    <row r="109" spans="1:25" ht="17.25" customHeight="1">
      <c r="A109" s="227"/>
      <c r="B109" s="228"/>
      <c r="C109" s="1"/>
      <c r="D109" s="1"/>
      <c r="E109" s="1"/>
      <c r="F109" s="78"/>
      <c r="G109" s="78"/>
      <c r="H109" s="78"/>
      <c r="I109" s="78"/>
      <c r="J109" s="78"/>
      <c r="K109" s="339"/>
      <c r="L109" s="339"/>
      <c r="M109" s="339"/>
      <c r="N109" s="339"/>
      <c r="O109" s="339"/>
      <c r="P109" s="339"/>
      <c r="Q109" s="339"/>
      <c r="R109" s="339"/>
      <c r="S109" s="339"/>
      <c r="T109" s="1"/>
      <c r="U109" s="1"/>
      <c r="V109" s="1"/>
      <c r="W109" s="1"/>
      <c r="X109" s="1"/>
      <c r="Y109" s="1"/>
    </row>
    <row r="110" spans="1:25" ht="17.25" customHeight="1">
      <c r="A110" s="227"/>
      <c r="B110" s="228"/>
      <c r="C110" s="1"/>
      <c r="D110" s="1"/>
      <c r="E110" s="1"/>
      <c r="F110" s="78"/>
      <c r="G110" s="78"/>
      <c r="H110" s="78"/>
      <c r="I110" s="78"/>
      <c r="J110" s="78"/>
      <c r="K110" s="339"/>
      <c r="L110" s="339"/>
      <c r="M110" s="339"/>
      <c r="N110" s="339"/>
      <c r="O110" s="339"/>
      <c r="P110" s="339"/>
      <c r="Q110" s="339"/>
      <c r="R110" s="339"/>
      <c r="S110" s="339"/>
      <c r="T110" s="1"/>
      <c r="U110" s="1"/>
      <c r="V110" s="1"/>
      <c r="W110" s="1"/>
      <c r="X110" s="1"/>
      <c r="Y110" s="1"/>
    </row>
    <row r="111" spans="1:25" ht="17.25" customHeight="1">
      <c r="A111" s="227"/>
      <c r="B111" s="228"/>
      <c r="C111" s="1"/>
      <c r="D111" s="1"/>
      <c r="E111" s="1"/>
      <c r="F111" s="78"/>
      <c r="G111" s="78"/>
      <c r="H111" s="78"/>
      <c r="I111" s="78"/>
      <c r="J111" s="78"/>
      <c r="K111" s="339"/>
      <c r="L111" s="339"/>
      <c r="M111" s="339"/>
      <c r="N111" s="339"/>
      <c r="O111" s="339"/>
      <c r="P111" s="339"/>
      <c r="Q111" s="339"/>
      <c r="R111" s="339"/>
      <c r="S111" s="339"/>
      <c r="T111" s="1"/>
      <c r="U111" s="1"/>
      <c r="V111" s="1"/>
      <c r="W111" s="1"/>
      <c r="X111" s="1"/>
      <c r="Y111" s="1"/>
    </row>
    <row r="112" spans="1:25" ht="17.25" customHeight="1">
      <c r="A112" s="227"/>
      <c r="B112" s="228"/>
      <c r="C112" s="1"/>
      <c r="D112" s="1"/>
      <c r="E112" s="1"/>
      <c r="F112" s="78"/>
      <c r="G112" s="78"/>
      <c r="H112" s="78"/>
      <c r="I112" s="78"/>
      <c r="J112" s="78"/>
      <c r="K112" s="339"/>
      <c r="L112" s="339"/>
      <c r="M112" s="339"/>
      <c r="N112" s="339"/>
      <c r="O112" s="339"/>
      <c r="P112" s="339"/>
      <c r="Q112" s="339"/>
      <c r="R112" s="339"/>
      <c r="S112" s="339"/>
      <c r="T112" s="1"/>
      <c r="U112" s="1"/>
      <c r="V112" s="1"/>
      <c r="W112" s="1"/>
      <c r="X112" s="1"/>
      <c r="Y112" s="1"/>
    </row>
    <row r="113" spans="1:25" ht="17.25" customHeight="1">
      <c r="A113" s="227"/>
      <c r="B113" s="228"/>
      <c r="C113" s="1"/>
      <c r="D113" s="1"/>
      <c r="E113" s="1"/>
      <c r="F113" s="78"/>
      <c r="G113" s="78"/>
      <c r="H113" s="78"/>
      <c r="I113" s="78"/>
      <c r="J113" s="78"/>
      <c r="K113" s="339"/>
      <c r="L113" s="339"/>
      <c r="M113" s="339"/>
      <c r="N113" s="339"/>
      <c r="O113" s="339"/>
      <c r="P113" s="339"/>
      <c r="Q113" s="339"/>
      <c r="R113" s="339"/>
      <c r="S113" s="339"/>
      <c r="T113" s="1"/>
      <c r="U113" s="1"/>
      <c r="V113" s="1"/>
      <c r="W113" s="1"/>
      <c r="X113" s="1"/>
      <c r="Y113" s="1"/>
    </row>
    <row r="114" spans="1:25" ht="17.25" customHeight="1">
      <c r="A114" s="227"/>
      <c r="B114" s="228"/>
      <c r="C114" s="1"/>
      <c r="D114" s="1"/>
      <c r="E114" s="1"/>
      <c r="F114" s="78"/>
      <c r="G114" s="78"/>
      <c r="H114" s="78"/>
      <c r="I114" s="78"/>
      <c r="J114" s="78"/>
      <c r="K114" s="339"/>
      <c r="L114" s="339"/>
      <c r="M114" s="339"/>
      <c r="N114" s="339"/>
      <c r="O114" s="339"/>
      <c r="P114" s="339"/>
      <c r="Q114" s="339"/>
      <c r="R114" s="339"/>
      <c r="S114" s="339"/>
      <c r="T114" s="1"/>
      <c r="U114" s="1"/>
      <c r="V114" s="1"/>
      <c r="W114" s="1"/>
      <c r="X114" s="1"/>
      <c r="Y114" s="1"/>
    </row>
    <row r="115" spans="1:25" ht="17.25" customHeight="1">
      <c r="A115" s="227"/>
      <c r="B115" s="228"/>
      <c r="C115" s="1"/>
      <c r="D115" s="1"/>
      <c r="E115" s="1"/>
      <c r="F115" s="78"/>
      <c r="G115" s="78"/>
      <c r="H115" s="78"/>
      <c r="I115" s="78"/>
      <c r="J115" s="78"/>
      <c r="K115" s="339"/>
      <c r="L115" s="339"/>
      <c r="M115" s="339"/>
      <c r="N115" s="339"/>
      <c r="O115" s="339"/>
      <c r="P115" s="339"/>
      <c r="Q115" s="339"/>
      <c r="R115" s="339"/>
      <c r="S115" s="339"/>
      <c r="T115" s="1"/>
      <c r="U115" s="1"/>
      <c r="V115" s="1"/>
      <c r="W115" s="1"/>
      <c r="X115" s="1"/>
      <c r="Y115" s="1"/>
    </row>
    <row r="116" spans="1:25" ht="17.25" customHeight="1">
      <c r="A116" s="227"/>
      <c r="B116" s="228"/>
      <c r="C116" s="1"/>
      <c r="D116" s="1"/>
      <c r="E116" s="1"/>
      <c r="F116" s="78"/>
      <c r="G116" s="78"/>
      <c r="H116" s="78"/>
      <c r="I116" s="78"/>
      <c r="J116" s="78"/>
      <c r="K116" s="339"/>
      <c r="L116" s="339"/>
      <c r="M116" s="339"/>
      <c r="N116" s="339"/>
      <c r="O116" s="339"/>
      <c r="P116" s="339"/>
      <c r="Q116" s="339"/>
      <c r="R116" s="339"/>
      <c r="S116" s="339"/>
      <c r="T116" s="1"/>
      <c r="U116" s="1"/>
      <c r="V116" s="1"/>
      <c r="W116" s="1"/>
      <c r="X116" s="1"/>
      <c r="Y116" s="1"/>
    </row>
    <row r="117" spans="1:25" ht="17.25" customHeight="1">
      <c r="A117" s="1"/>
      <c r="B117" s="1"/>
      <c r="C117" s="1"/>
      <c r="D117" s="1"/>
      <c r="E117" s="1"/>
      <c r="F117" s="78"/>
      <c r="G117" s="78"/>
      <c r="H117" s="78"/>
      <c r="I117" s="78"/>
      <c r="J117" s="78"/>
      <c r="K117" s="339"/>
      <c r="L117" s="339"/>
      <c r="M117" s="339"/>
      <c r="N117" s="339"/>
      <c r="O117" s="339"/>
      <c r="P117" s="339"/>
      <c r="Q117" s="339"/>
      <c r="R117" s="339"/>
      <c r="S117" s="339"/>
      <c r="T117" s="1"/>
      <c r="U117" s="1"/>
      <c r="V117" s="1"/>
      <c r="W117" s="1"/>
      <c r="X117" s="1"/>
      <c r="Y117" s="1"/>
    </row>
    <row r="118" spans="1:25" ht="17.25" customHeight="1">
      <c r="A118" s="1"/>
      <c r="B118" s="1"/>
      <c r="C118" s="1"/>
      <c r="D118" s="1"/>
      <c r="E118" s="1"/>
      <c r="F118" s="78"/>
      <c r="G118" s="78"/>
      <c r="H118" s="78"/>
      <c r="I118" s="78"/>
      <c r="J118" s="78"/>
      <c r="K118" s="339"/>
      <c r="L118" s="339"/>
      <c r="M118" s="339"/>
      <c r="N118" s="339"/>
      <c r="O118" s="339"/>
      <c r="P118" s="339"/>
      <c r="Q118" s="339"/>
      <c r="R118" s="339"/>
      <c r="S118" s="339"/>
      <c r="T118" s="1"/>
      <c r="U118" s="1"/>
      <c r="V118" s="1"/>
      <c r="W118" s="1"/>
      <c r="X118" s="1"/>
      <c r="Y118" s="1"/>
    </row>
    <row r="119" spans="1:25" ht="17.25" customHeight="1">
      <c r="A119" s="1"/>
      <c r="B119" s="1"/>
      <c r="C119" s="1"/>
      <c r="D119" s="1"/>
      <c r="E119" s="1"/>
      <c r="F119" s="78"/>
      <c r="G119" s="78"/>
      <c r="H119" s="78"/>
      <c r="I119" s="78"/>
      <c r="J119" s="78"/>
      <c r="K119" s="339"/>
      <c r="L119" s="339"/>
      <c r="M119" s="339"/>
      <c r="N119" s="339"/>
      <c r="O119" s="339"/>
      <c r="P119" s="339"/>
      <c r="Q119" s="339"/>
      <c r="R119" s="339"/>
      <c r="S119" s="339"/>
      <c r="T119" s="1"/>
      <c r="U119" s="1"/>
      <c r="V119" s="1"/>
      <c r="W119" s="1"/>
      <c r="X119" s="1"/>
      <c r="Y119" s="1"/>
    </row>
    <row r="120" spans="1:25" ht="17.25" customHeight="1">
      <c r="A120" s="1"/>
      <c r="B120" s="1"/>
      <c r="C120" s="1"/>
      <c r="D120" s="1"/>
      <c r="E120" s="1"/>
      <c r="F120" s="78"/>
      <c r="G120" s="78"/>
      <c r="H120" s="78"/>
      <c r="I120" s="78"/>
      <c r="J120" s="78"/>
      <c r="K120" s="339"/>
      <c r="L120" s="339"/>
      <c r="M120" s="339"/>
      <c r="N120" s="339"/>
      <c r="O120" s="339"/>
      <c r="P120" s="339"/>
      <c r="Q120" s="339"/>
      <c r="R120" s="339"/>
      <c r="S120" s="339"/>
      <c r="T120" s="1"/>
      <c r="U120" s="1"/>
      <c r="V120" s="1"/>
      <c r="W120" s="1"/>
      <c r="X120" s="1"/>
      <c r="Y120" s="1"/>
    </row>
    <row r="121" spans="1:25" ht="17.25" customHeight="1">
      <c r="A121" s="1"/>
      <c r="B121" s="1"/>
      <c r="C121" s="1"/>
      <c r="D121" s="1"/>
      <c r="E121" s="1"/>
      <c r="F121" s="78"/>
      <c r="G121" s="78"/>
      <c r="H121" s="78"/>
      <c r="I121" s="78"/>
      <c r="J121" s="78"/>
      <c r="K121" s="339"/>
      <c r="L121" s="339"/>
      <c r="M121" s="339"/>
      <c r="N121" s="339"/>
      <c r="O121" s="339"/>
      <c r="P121" s="339"/>
      <c r="Q121" s="339"/>
      <c r="R121" s="339"/>
      <c r="S121" s="339"/>
      <c r="T121" s="1"/>
      <c r="U121" s="1"/>
      <c r="V121" s="1"/>
      <c r="W121" s="1"/>
      <c r="X121" s="1"/>
      <c r="Y121" s="1"/>
    </row>
    <row r="122" spans="1:25" ht="17.25" customHeight="1">
      <c r="A122" s="1"/>
      <c r="B122" s="1"/>
      <c r="C122" s="1"/>
      <c r="D122" s="1"/>
      <c r="E122" s="1"/>
      <c r="F122" s="78"/>
      <c r="G122" s="78"/>
      <c r="H122" s="78"/>
      <c r="I122" s="78"/>
      <c r="J122" s="78"/>
      <c r="K122" s="339"/>
      <c r="L122" s="339"/>
      <c r="M122" s="339"/>
      <c r="N122" s="339"/>
      <c r="O122" s="339"/>
      <c r="P122" s="339"/>
      <c r="Q122" s="339"/>
      <c r="R122" s="339"/>
      <c r="S122" s="339"/>
      <c r="T122" s="1"/>
      <c r="U122" s="1"/>
      <c r="V122" s="1"/>
      <c r="W122" s="1"/>
      <c r="X122" s="1"/>
      <c r="Y122" s="1"/>
    </row>
    <row r="123" spans="1:25" ht="17.25" customHeight="1">
      <c r="A123" s="1"/>
      <c r="B123" s="1"/>
      <c r="C123" s="1"/>
      <c r="D123" s="1"/>
      <c r="E123" s="1"/>
      <c r="F123" s="78"/>
      <c r="G123" s="78"/>
      <c r="H123" s="78"/>
      <c r="I123" s="78"/>
      <c r="J123" s="78"/>
      <c r="K123" s="339"/>
      <c r="L123" s="339"/>
      <c r="M123" s="339"/>
      <c r="N123" s="339"/>
      <c r="O123" s="339"/>
      <c r="P123" s="339"/>
      <c r="Q123" s="339"/>
      <c r="R123" s="339"/>
      <c r="S123" s="339"/>
      <c r="T123" s="1"/>
      <c r="U123" s="1"/>
      <c r="V123" s="1"/>
      <c r="W123" s="1"/>
      <c r="X123" s="1"/>
      <c r="Y123" s="1"/>
    </row>
    <row r="124" spans="1:25" ht="17.25" customHeight="1">
      <c r="A124" s="1"/>
      <c r="B124" s="1"/>
      <c r="C124" s="1"/>
      <c r="D124" s="1"/>
      <c r="E124" s="1"/>
      <c r="F124" s="78"/>
      <c r="G124" s="78"/>
      <c r="H124" s="78"/>
      <c r="I124" s="78"/>
      <c r="J124" s="78"/>
      <c r="K124" s="339"/>
      <c r="L124" s="339"/>
      <c r="M124" s="339"/>
      <c r="N124" s="339"/>
      <c r="O124" s="339"/>
      <c r="P124" s="339"/>
      <c r="Q124" s="339"/>
      <c r="R124" s="339"/>
      <c r="S124" s="339"/>
      <c r="T124" s="1"/>
      <c r="U124" s="1"/>
      <c r="V124" s="1"/>
      <c r="W124" s="1"/>
      <c r="X124" s="1"/>
      <c r="Y124" s="1"/>
    </row>
    <row r="125" spans="1:25" ht="17.25" customHeight="1">
      <c r="A125" s="1"/>
      <c r="B125" s="1"/>
      <c r="C125" s="1"/>
      <c r="D125" s="1"/>
      <c r="E125" s="1"/>
      <c r="F125" s="78"/>
      <c r="G125" s="78"/>
      <c r="H125" s="78"/>
      <c r="I125" s="78"/>
      <c r="J125" s="78"/>
      <c r="K125" s="339"/>
      <c r="L125" s="339"/>
      <c r="M125" s="339"/>
      <c r="N125" s="339"/>
      <c r="O125" s="339"/>
      <c r="P125" s="339"/>
      <c r="Q125" s="339"/>
      <c r="R125" s="339"/>
      <c r="S125" s="339"/>
      <c r="T125" s="1"/>
      <c r="U125" s="1"/>
      <c r="V125" s="1"/>
      <c r="W125" s="1"/>
      <c r="X125" s="1"/>
      <c r="Y125" s="1"/>
    </row>
    <row r="126" spans="1:25" ht="17.25" customHeight="1">
      <c r="A126" s="1"/>
      <c r="B126" s="1"/>
      <c r="C126" s="1"/>
      <c r="D126" s="1"/>
      <c r="E126" s="1"/>
      <c r="F126" s="78"/>
      <c r="G126" s="78"/>
      <c r="H126" s="78"/>
      <c r="I126" s="78"/>
      <c r="J126" s="78"/>
      <c r="K126" s="339"/>
      <c r="L126" s="339"/>
      <c r="M126" s="339"/>
      <c r="N126" s="339"/>
      <c r="O126" s="339"/>
      <c r="P126" s="339"/>
      <c r="Q126" s="339"/>
      <c r="R126" s="339"/>
      <c r="S126" s="339"/>
      <c r="T126" s="1"/>
      <c r="U126" s="1"/>
      <c r="V126" s="1"/>
      <c r="W126" s="1"/>
      <c r="X126" s="1"/>
      <c r="Y126" s="1"/>
    </row>
    <row r="127" spans="1:25" ht="17.25" customHeight="1">
      <c r="A127" s="1"/>
      <c r="B127" s="1"/>
      <c r="C127" s="1"/>
      <c r="D127" s="1"/>
      <c r="E127" s="1"/>
      <c r="F127" s="78"/>
      <c r="G127" s="78"/>
      <c r="H127" s="78"/>
      <c r="I127" s="78"/>
      <c r="J127" s="78"/>
      <c r="K127" s="339"/>
      <c r="L127" s="339"/>
      <c r="M127" s="339"/>
      <c r="N127" s="339"/>
      <c r="O127" s="339"/>
      <c r="P127" s="339"/>
      <c r="Q127" s="339"/>
      <c r="R127" s="339"/>
      <c r="S127" s="339"/>
      <c r="T127" s="1"/>
      <c r="U127" s="1"/>
      <c r="V127" s="1"/>
      <c r="W127" s="1"/>
      <c r="X127" s="1"/>
      <c r="Y127" s="1"/>
    </row>
    <row r="128" spans="1:25" ht="17.25" customHeight="1">
      <c r="A128" s="1"/>
      <c r="B128" s="1"/>
      <c r="C128" s="1"/>
      <c r="D128" s="1"/>
      <c r="E128" s="1"/>
      <c r="F128" s="78"/>
      <c r="G128" s="78"/>
      <c r="H128" s="78"/>
      <c r="I128" s="78"/>
      <c r="J128" s="78"/>
      <c r="K128" s="339"/>
      <c r="L128" s="339"/>
      <c r="M128" s="339"/>
      <c r="N128" s="339"/>
      <c r="O128" s="339"/>
      <c r="P128" s="339"/>
      <c r="Q128" s="339"/>
      <c r="R128" s="339"/>
      <c r="S128" s="339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78"/>
      <c r="G129" s="78"/>
      <c r="H129" s="78"/>
      <c r="I129" s="78"/>
      <c r="J129" s="78"/>
      <c r="K129" s="339"/>
      <c r="L129" s="339"/>
      <c r="M129" s="339"/>
      <c r="N129" s="339"/>
      <c r="O129" s="339"/>
      <c r="P129" s="339"/>
      <c r="Q129" s="339"/>
      <c r="R129" s="339"/>
      <c r="S129" s="339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78"/>
      <c r="G130" s="78"/>
      <c r="H130" s="78"/>
      <c r="I130" s="78"/>
      <c r="J130" s="78"/>
      <c r="K130" s="339"/>
      <c r="L130" s="339"/>
      <c r="M130" s="339"/>
      <c r="N130" s="339"/>
      <c r="O130" s="339"/>
      <c r="P130" s="339"/>
      <c r="Q130" s="339"/>
      <c r="R130" s="339"/>
      <c r="S130" s="339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78"/>
      <c r="G131" s="78"/>
      <c r="H131" s="78"/>
      <c r="I131" s="78"/>
      <c r="J131" s="78"/>
      <c r="K131" s="339"/>
      <c r="L131" s="339"/>
      <c r="M131" s="339"/>
      <c r="N131" s="339"/>
      <c r="O131" s="339"/>
      <c r="P131" s="339"/>
      <c r="Q131" s="339"/>
      <c r="R131" s="339"/>
      <c r="S131" s="339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78"/>
      <c r="G132" s="78"/>
      <c r="H132" s="78"/>
      <c r="I132" s="78"/>
      <c r="J132" s="78"/>
      <c r="K132" s="339"/>
      <c r="L132" s="339"/>
      <c r="M132" s="339"/>
      <c r="N132" s="339"/>
      <c r="O132" s="339"/>
      <c r="P132" s="339"/>
      <c r="Q132" s="339"/>
      <c r="R132" s="339"/>
      <c r="S132" s="339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78"/>
      <c r="G133" s="78"/>
      <c r="H133" s="78"/>
      <c r="I133" s="78"/>
      <c r="J133" s="78"/>
      <c r="K133" s="339"/>
      <c r="L133" s="339"/>
      <c r="M133" s="339"/>
      <c r="N133" s="339"/>
      <c r="O133" s="339"/>
      <c r="P133" s="339"/>
      <c r="Q133" s="339"/>
      <c r="R133" s="339"/>
      <c r="S133" s="339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78"/>
      <c r="G134" s="78"/>
      <c r="H134" s="78"/>
      <c r="I134" s="78"/>
      <c r="J134" s="78"/>
      <c r="K134" s="339"/>
      <c r="L134" s="339"/>
      <c r="M134" s="339"/>
      <c r="N134" s="339"/>
      <c r="O134" s="339"/>
      <c r="P134" s="339"/>
      <c r="Q134" s="339"/>
      <c r="R134" s="339"/>
      <c r="S134" s="339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78"/>
      <c r="G135" s="78"/>
      <c r="H135" s="78"/>
      <c r="I135" s="78"/>
      <c r="J135" s="78"/>
      <c r="K135" s="339"/>
      <c r="L135" s="339"/>
      <c r="M135" s="339"/>
      <c r="N135" s="339"/>
      <c r="O135" s="339"/>
      <c r="P135" s="339"/>
      <c r="Q135" s="339"/>
      <c r="R135" s="339"/>
      <c r="S135" s="339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78"/>
      <c r="G136" s="78"/>
      <c r="H136" s="78"/>
      <c r="I136" s="78"/>
      <c r="J136" s="78"/>
      <c r="K136" s="339"/>
      <c r="L136" s="339"/>
      <c r="M136" s="339"/>
      <c r="N136" s="339"/>
      <c r="O136" s="339"/>
      <c r="P136" s="339"/>
      <c r="Q136" s="339"/>
      <c r="R136" s="339"/>
      <c r="S136" s="339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78"/>
      <c r="G137" s="78"/>
      <c r="H137" s="78"/>
      <c r="I137" s="78"/>
      <c r="J137" s="78"/>
      <c r="K137" s="339"/>
      <c r="L137" s="339"/>
      <c r="M137" s="339"/>
      <c r="N137" s="339"/>
      <c r="O137" s="339"/>
      <c r="P137" s="339"/>
      <c r="Q137" s="339"/>
      <c r="R137" s="339"/>
      <c r="S137" s="339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78"/>
      <c r="G138" s="78"/>
      <c r="H138" s="78"/>
      <c r="I138" s="78"/>
      <c r="J138" s="78"/>
      <c r="K138" s="339"/>
      <c r="L138" s="339"/>
      <c r="M138" s="339"/>
      <c r="N138" s="339"/>
      <c r="O138" s="339"/>
      <c r="P138" s="339"/>
      <c r="Q138" s="339"/>
      <c r="R138" s="339"/>
      <c r="S138" s="339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78"/>
      <c r="G139" s="78"/>
      <c r="H139" s="78"/>
      <c r="I139" s="78"/>
      <c r="J139" s="78"/>
      <c r="K139" s="339"/>
      <c r="L139" s="339"/>
      <c r="M139" s="339"/>
      <c r="N139" s="339"/>
      <c r="O139" s="339"/>
      <c r="P139" s="339"/>
      <c r="Q139" s="339"/>
      <c r="R139" s="339"/>
      <c r="S139" s="339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78"/>
      <c r="G140" s="78"/>
      <c r="H140" s="78"/>
      <c r="I140" s="78"/>
      <c r="J140" s="78"/>
      <c r="K140" s="339"/>
      <c r="L140" s="339"/>
      <c r="M140" s="339"/>
      <c r="N140" s="339"/>
      <c r="O140" s="339"/>
      <c r="P140" s="339"/>
      <c r="Q140" s="339"/>
      <c r="R140" s="339"/>
      <c r="S140" s="339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78"/>
      <c r="G141" s="78"/>
      <c r="H141" s="78"/>
      <c r="I141" s="78"/>
      <c r="J141" s="78"/>
      <c r="K141" s="339"/>
      <c r="L141" s="339"/>
      <c r="M141" s="339"/>
      <c r="N141" s="339"/>
      <c r="O141" s="339"/>
      <c r="P141" s="339"/>
      <c r="Q141" s="339"/>
      <c r="R141" s="339"/>
      <c r="S141" s="339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78"/>
      <c r="G142" s="78"/>
      <c r="H142" s="78"/>
      <c r="I142" s="78"/>
      <c r="J142" s="78"/>
      <c r="K142" s="339"/>
      <c r="L142" s="339"/>
      <c r="M142" s="339"/>
      <c r="N142" s="339"/>
      <c r="O142" s="339"/>
      <c r="P142" s="339"/>
      <c r="Q142" s="339"/>
      <c r="R142" s="339"/>
      <c r="S142" s="339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78"/>
      <c r="G143" s="78"/>
      <c r="H143" s="78"/>
      <c r="I143" s="78"/>
      <c r="J143" s="78"/>
      <c r="K143" s="339"/>
      <c r="L143" s="339"/>
      <c r="M143" s="339"/>
      <c r="N143" s="339"/>
      <c r="O143" s="339"/>
      <c r="P143" s="339"/>
      <c r="Q143" s="339"/>
      <c r="R143" s="339"/>
      <c r="S143" s="339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78"/>
      <c r="G144" s="78"/>
      <c r="H144" s="78"/>
      <c r="I144" s="78"/>
      <c r="J144" s="78"/>
      <c r="K144" s="339"/>
      <c r="L144" s="339"/>
      <c r="M144" s="339"/>
      <c r="N144" s="339"/>
      <c r="O144" s="339"/>
      <c r="P144" s="339"/>
      <c r="Q144" s="339"/>
      <c r="R144" s="339"/>
      <c r="S144" s="339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78"/>
      <c r="G145" s="78"/>
      <c r="H145" s="78"/>
      <c r="I145" s="78"/>
      <c r="J145" s="78"/>
      <c r="K145" s="339"/>
      <c r="L145" s="339"/>
      <c r="M145" s="339"/>
      <c r="N145" s="339"/>
      <c r="O145" s="339"/>
      <c r="P145" s="339"/>
      <c r="Q145" s="339"/>
      <c r="R145" s="339"/>
      <c r="S145" s="339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78"/>
      <c r="G146" s="78"/>
      <c r="H146" s="78"/>
      <c r="I146" s="78"/>
      <c r="J146" s="78"/>
      <c r="K146" s="339"/>
      <c r="L146" s="339"/>
      <c r="M146" s="339"/>
      <c r="N146" s="339"/>
      <c r="O146" s="339"/>
      <c r="P146" s="339"/>
      <c r="Q146" s="339"/>
      <c r="R146" s="339"/>
      <c r="S146" s="339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78"/>
      <c r="G147" s="78"/>
      <c r="H147" s="78"/>
      <c r="I147" s="78"/>
      <c r="J147" s="78"/>
      <c r="K147" s="339"/>
      <c r="L147" s="339"/>
      <c r="M147" s="339"/>
      <c r="N147" s="339"/>
      <c r="O147" s="339"/>
      <c r="P147" s="339"/>
      <c r="Q147" s="339"/>
      <c r="R147" s="339"/>
      <c r="S147" s="339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78"/>
      <c r="G148" s="78"/>
      <c r="H148" s="78"/>
      <c r="I148" s="78"/>
      <c r="J148" s="78"/>
      <c r="K148" s="339"/>
      <c r="L148" s="339"/>
      <c r="M148" s="339"/>
      <c r="N148" s="339"/>
      <c r="O148" s="339"/>
      <c r="P148" s="339"/>
      <c r="Q148" s="339"/>
      <c r="R148" s="339"/>
      <c r="S148" s="339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78"/>
      <c r="G149" s="78"/>
      <c r="H149" s="78"/>
      <c r="I149" s="78"/>
      <c r="J149" s="78"/>
      <c r="K149" s="339"/>
      <c r="L149" s="339"/>
      <c r="M149" s="339"/>
      <c r="N149" s="339"/>
      <c r="O149" s="339"/>
      <c r="P149" s="339"/>
      <c r="Q149" s="339"/>
      <c r="R149" s="339"/>
      <c r="S149" s="339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78"/>
      <c r="G150" s="78"/>
      <c r="H150" s="78"/>
      <c r="I150" s="78"/>
      <c r="J150" s="78"/>
      <c r="K150" s="339"/>
      <c r="L150" s="339"/>
      <c r="M150" s="339"/>
      <c r="N150" s="339"/>
      <c r="O150" s="339"/>
      <c r="P150" s="339"/>
      <c r="Q150" s="339"/>
      <c r="R150" s="339"/>
      <c r="S150" s="339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78"/>
      <c r="G151" s="78"/>
      <c r="H151" s="78"/>
      <c r="I151" s="78"/>
      <c r="J151" s="78"/>
      <c r="K151" s="339"/>
      <c r="L151" s="339"/>
      <c r="M151" s="339"/>
      <c r="N151" s="339"/>
      <c r="O151" s="339"/>
      <c r="P151" s="339"/>
      <c r="Q151" s="339"/>
      <c r="R151" s="339"/>
      <c r="S151" s="339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78"/>
      <c r="G152" s="78"/>
      <c r="H152" s="78"/>
      <c r="I152" s="78"/>
      <c r="J152" s="78"/>
      <c r="K152" s="339"/>
      <c r="L152" s="339"/>
      <c r="M152" s="339"/>
      <c r="N152" s="339"/>
      <c r="O152" s="339"/>
      <c r="P152" s="339"/>
      <c r="Q152" s="339"/>
      <c r="R152" s="339"/>
      <c r="S152" s="339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78"/>
      <c r="G153" s="78"/>
      <c r="H153" s="78"/>
      <c r="I153" s="78"/>
      <c r="J153" s="78"/>
      <c r="K153" s="339"/>
      <c r="L153" s="339"/>
      <c r="M153" s="339"/>
      <c r="N153" s="339"/>
      <c r="O153" s="339"/>
      <c r="P153" s="339"/>
      <c r="Q153" s="339"/>
      <c r="R153" s="339"/>
      <c r="S153" s="339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78"/>
      <c r="G154" s="78"/>
      <c r="H154" s="78"/>
      <c r="I154" s="78"/>
      <c r="J154" s="78"/>
      <c r="K154" s="339"/>
      <c r="L154" s="339"/>
      <c r="M154" s="339"/>
      <c r="N154" s="339"/>
      <c r="O154" s="339"/>
      <c r="P154" s="339"/>
      <c r="Q154" s="339"/>
      <c r="R154" s="339"/>
      <c r="S154" s="339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78"/>
      <c r="G155" s="78"/>
      <c r="H155" s="78"/>
      <c r="I155" s="78"/>
      <c r="J155" s="78"/>
      <c r="K155" s="339"/>
      <c r="L155" s="339"/>
      <c r="M155" s="339"/>
      <c r="N155" s="339"/>
      <c r="O155" s="339"/>
      <c r="P155" s="339"/>
      <c r="Q155" s="339"/>
      <c r="R155" s="339"/>
      <c r="S155" s="339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78"/>
      <c r="G156" s="78"/>
      <c r="H156" s="78"/>
      <c r="I156" s="78"/>
      <c r="J156" s="78"/>
      <c r="K156" s="339"/>
      <c r="L156" s="339"/>
      <c r="M156" s="339"/>
      <c r="N156" s="339"/>
      <c r="O156" s="339"/>
      <c r="P156" s="339"/>
      <c r="Q156" s="339"/>
      <c r="R156" s="339"/>
      <c r="S156" s="339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78"/>
      <c r="G157" s="78"/>
      <c r="H157" s="78"/>
      <c r="I157" s="78"/>
      <c r="J157" s="78"/>
      <c r="K157" s="339"/>
      <c r="L157" s="339"/>
      <c r="M157" s="339"/>
      <c r="N157" s="339"/>
      <c r="O157" s="339"/>
      <c r="P157" s="339"/>
      <c r="Q157" s="339"/>
      <c r="R157" s="339"/>
      <c r="S157" s="339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78"/>
      <c r="G158" s="78"/>
      <c r="H158" s="78"/>
      <c r="I158" s="78"/>
      <c r="J158" s="78"/>
      <c r="K158" s="339"/>
      <c r="L158" s="339"/>
      <c r="M158" s="339"/>
      <c r="N158" s="339"/>
      <c r="O158" s="339"/>
      <c r="P158" s="339"/>
      <c r="Q158" s="339"/>
      <c r="R158" s="339"/>
      <c r="S158" s="339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78"/>
      <c r="G159" s="78"/>
      <c r="H159" s="78"/>
      <c r="I159" s="78"/>
      <c r="J159" s="78"/>
      <c r="K159" s="339"/>
      <c r="L159" s="339"/>
      <c r="M159" s="339"/>
      <c r="N159" s="339"/>
      <c r="O159" s="339"/>
      <c r="P159" s="339"/>
      <c r="Q159" s="339"/>
      <c r="R159" s="339"/>
      <c r="S159" s="339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78"/>
      <c r="G160" s="78"/>
      <c r="H160" s="78"/>
      <c r="I160" s="78"/>
      <c r="J160" s="78"/>
      <c r="K160" s="339"/>
      <c r="L160" s="339"/>
      <c r="M160" s="339"/>
      <c r="N160" s="339"/>
      <c r="O160" s="339"/>
      <c r="P160" s="339"/>
      <c r="Q160" s="339"/>
      <c r="R160" s="339"/>
      <c r="S160" s="339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78"/>
      <c r="G161" s="78"/>
      <c r="H161" s="78"/>
      <c r="I161" s="78"/>
      <c r="J161" s="78"/>
      <c r="K161" s="339"/>
      <c r="L161" s="339"/>
      <c r="M161" s="339"/>
      <c r="N161" s="339"/>
      <c r="O161" s="339"/>
      <c r="P161" s="339"/>
      <c r="Q161" s="339"/>
      <c r="R161" s="339"/>
      <c r="S161" s="339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78"/>
      <c r="G162" s="78"/>
      <c r="H162" s="78"/>
      <c r="I162" s="78"/>
      <c r="J162" s="78"/>
      <c r="K162" s="339"/>
      <c r="L162" s="339"/>
      <c r="M162" s="339"/>
      <c r="N162" s="339"/>
      <c r="O162" s="339"/>
      <c r="P162" s="339"/>
      <c r="Q162" s="339"/>
      <c r="R162" s="339"/>
      <c r="S162" s="339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78"/>
      <c r="G163" s="78"/>
      <c r="H163" s="78"/>
      <c r="I163" s="78"/>
      <c r="J163" s="78"/>
      <c r="K163" s="339"/>
      <c r="L163" s="339"/>
      <c r="M163" s="339"/>
      <c r="N163" s="339"/>
      <c r="O163" s="339"/>
      <c r="P163" s="339"/>
      <c r="Q163" s="339"/>
      <c r="R163" s="339"/>
      <c r="S163" s="339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78"/>
      <c r="G164" s="78"/>
      <c r="H164" s="78"/>
      <c r="I164" s="78"/>
      <c r="J164" s="78"/>
      <c r="K164" s="339"/>
      <c r="L164" s="339"/>
      <c r="M164" s="339"/>
      <c r="N164" s="339"/>
      <c r="O164" s="339"/>
      <c r="P164" s="339"/>
      <c r="Q164" s="339"/>
      <c r="R164" s="339"/>
      <c r="S164" s="339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78"/>
      <c r="G165" s="78"/>
      <c r="H165" s="78"/>
      <c r="I165" s="78"/>
      <c r="J165" s="78"/>
      <c r="K165" s="339"/>
      <c r="L165" s="339"/>
      <c r="M165" s="339"/>
      <c r="N165" s="339"/>
      <c r="O165" s="339"/>
      <c r="P165" s="339"/>
      <c r="Q165" s="339"/>
      <c r="R165" s="339"/>
      <c r="S165" s="339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78"/>
      <c r="G166" s="78"/>
      <c r="H166" s="78"/>
      <c r="I166" s="78"/>
      <c r="J166" s="78"/>
      <c r="K166" s="339"/>
      <c r="L166" s="339"/>
      <c r="M166" s="339"/>
      <c r="N166" s="339"/>
      <c r="O166" s="339"/>
      <c r="P166" s="339"/>
      <c r="Q166" s="339"/>
      <c r="R166" s="339"/>
      <c r="S166" s="339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78"/>
      <c r="G167" s="78"/>
      <c r="H167" s="78"/>
      <c r="I167" s="78"/>
      <c r="J167" s="78"/>
      <c r="K167" s="339"/>
      <c r="L167" s="339"/>
      <c r="M167" s="339"/>
      <c r="N167" s="339"/>
      <c r="O167" s="339"/>
      <c r="P167" s="339"/>
      <c r="Q167" s="339"/>
      <c r="R167" s="339"/>
      <c r="S167" s="339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78"/>
      <c r="G168" s="78"/>
      <c r="H168" s="78"/>
      <c r="I168" s="78"/>
      <c r="J168" s="78"/>
      <c r="K168" s="339"/>
      <c r="L168" s="339"/>
      <c r="M168" s="339"/>
      <c r="N168" s="339"/>
      <c r="O168" s="339"/>
      <c r="P168" s="339"/>
      <c r="Q168" s="339"/>
      <c r="R168" s="339"/>
      <c r="S168" s="339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78"/>
      <c r="G169" s="78"/>
      <c r="H169" s="78"/>
      <c r="I169" s="78"/>
      <c r="J169" s="78"/>
      <c r="K169" s="339"/>
      <c r="L169" s="339"/>
      <c r="M169" s="339"/>
      <c r="N169" s="339"/>
      <c r="O169" s="339"/>
      <c r="P169" s="339"/>
      <c r="Q169" s="339"/>
      <c r="R169" s="339"/>
      <c r="S169" s="339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78"/>
      <c r="G170" s="78"/>
      <c r="H170" s="78"/>
      <c r="I170" s="78"/>
      <c r="J170" s="78"/>
      <c r="K170" s="339"/>
      <c r="L170" s="339"/>
      <c r="M170" s="339"/>
      <c r="N170" s="339"/>
      <c r="O170" s="339"/>
      <c r="P170" s="339"/>
      <c r="Q170" s="339"/>
      <c r="R170" s="339"/>
      <c r="S170" s="339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78"/>
      <c r="G171" s="78"/>
      <c r="H171" s="78"/>
      <c r="I171" s="78"/>
      <c r="J171" s="78"/>
      <c r="K171" s="339"/>
      <c r="L171" s="339"/>
      <c r="M171" s="339"/>
      <c r="N171" s="339"/>
      <c r="O171" s="339"/>
      <c r="P171" s="339"/>
      <c r="Q171" s="339"/>
      <c r="R171" s="339"/>
      <c r="S171" s="339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78"/>
      <c r="G172" s="78"/>
      <c r="H172" s="78"/>
      <c r="I172" s="78"/>
      <c r="J172" s="78"/>
      <c r="K172" s="339"/>
      <c r="L172" s="339"/>
      <c r="M172" s="339"/>
      <c r="N172" s="339"/>
      <c r="O172" s="339"/>
      <c r="P172" s="339"/>
      <c r="Q172" s="339"/>
      <c r="R172" s="339"/>
      <c r="S172" s="339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78"/>
      <c r="G173" s="78"/>
      <c r="H173" s="78"/>
      <c r="I173" s="78"/>
      <c r="J173" s="78"/>
      <c r="K173" s="339"/>
      <c r="L173" s="339"/>
      <c r="M173" s="339"/>
      <c r="N173" s="339"/>
      <c r="O173" s="339"/>
      <c r="P173" s="339"/>
      <c r="Q173" s="339"/>
      <c r="R173" s="339"/>
      <c r="S173" s="339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78"/>
      <c r="G174" s="78"/>
      <c r="H174" s="78"/>
      <c r="I174" s="78"/>
      <c r="J174" s="78"/>
      <c r="K174" s="339"/>
      <c r="L174" s="339"/>
      <c r="M174" s="339"/>
      <c r="N174" s="339"/>
      <c r="O174" s="339"/>
      <c r="P174" s="339"/>
      <c r="Q174" s="339"/>
      <c r="R174" s="339"/>
      <c r="S174" s="339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78"/>
      <c r="G175" s="78"/>
      <c r="H175" s="78"/>
      <c r="I175" s="78"/>
      <c r="J175" s="78"/>
      <c r="K175" s="339"/>
      <c r="L175" s="339"/>
      <c r="M175" s="339"/>
      <c r="N175" s="339"/>
      <c r="O175" s="339"/>
      <c r="P175" s="339"/>
      <c r="Q175" s="339"/>
      <c r="R175" s="339"/>
      <c r="S175" s="339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78"/>
      <c r="G176" s="78"/>
      <c r="H176" s="78"/>
      <c r="I176" s="78"/>
      <c r="J176" s="78"/>
      <c r="K176" s="339"/>
      <c r="L176" s="339"/>
      <c r="M176" s="339"/>
      <c r="N176" s="339"/>
      <c r="O176" s="339"/>
      <c r="P176" s="339"/>
      <c r="Q176" s="339"/>
      <c r="R176" s="339"/>
      <c r="S176" s="339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78"/>
      <c r="G177" s="78"/>
      <c r="H177" s="78"/>
      <c r="I177" s="78"/>
      <c r="J177" s="78"/>
      <c r="K177" s="339"/>
      <c r="L177" s="339"/>
      <c r="M177" s="339"/>
      <c r="N177" s="339"/>
      <c r="O177" s="339"/>
      <c r="P177" s="339"/>
      <c r="Q177" s="339"/>
      <c r="R177" s="339"/>
      <c r="S177" s="339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78"/>
      <c r="G178" s="78"/>
      <c r="H178" s="78"/>
      <c r="I178" s="78"/>
      <c r="J178" s="78"/>
      <c r="K178" s="339"/>
      <c r="L178" s="339"/>
      <c r="M178" s="339"/>
      <c r="N178" s="339"/>
      <c r="O178" s="339"/>
      <c r="P178" s="339"/>
      <c r="Q178" s="339"/>
      <c r="R178" s="339"/>
      <c r="S178" s="339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78"/>
      <c r="G179" s="78"/>
      <c r="H179" s="78"/>
      <c r="I179" s="78"/>
      <c r="J179" s="78"/>
      <c r="K179" s="339"/>
      <c r="L179" s="339"/>
      <c r="M179" s="339"/>
      <c r="N179" s="339"/>
      <c r="O179" s="339"/>
      <c r="P179" s="339"/>
      <c r="Q179" s="339"/>
      <c r="R179" s="339"/>
      <c r="S179" s="339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78"/>
      <c r="G180" s="78"/>
      <c r="H180" s="78"/>
      <c r="I180" s="78"/>
      <c r="J180" s="78"/>
      <c r="K180" s="339"/>
      <c r="L180" s="339"/>
      <c r="M180" s="339"/>
      <c r="N180" s="339"/>
      <c r="O180" s="339"/>
      <c r="P180" s="339"/>
      <c r="Q180" s="339"/>
      <c r="R180" s="339"/>
      <c r="S180" s="339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78"/>
      <c r="G181" s="78"/>
      <c r="H181" s="78"/>
      <c r="I181" s="78"/>
      <c r="J181" s="78"/>
      <c r="K181" s="339"/>
      <c r="L181" s="339"/>
      <c r="M181" s="339"/>
      <c r="N181" s="339"/>
      <c r="O181" s="339"/>
      <c r="P181" s="339"/>
      <c r="Q181" s="339"/>
      <c r="R181" s="339"/>
      <c r="S181" s="339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78"/>
      <c r="G182" s="78"/>
      <c r="H182" s="78"/>
      <c r="I182" s="78"/>
      <c r="J182" s="78"/>
      <c r="K182" s="339"/>
      <c r="L182" s="339"/>
      <c r="M182" s="339"/>
      <c r="N182" s="339"/>
      <c r="O182" s="339"/>
      <c r="P182" s="339"/>
      <c r="Q182" s="339"/>
      <c r="R182" s="339"/>
      <c r="S182" s="339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78"/>
      <c r="G183" s="78"/>
      <c r="H183" s="78"/>
      <c r="I183" s="78"/>
      <c r="J183" s="78"/>
      <c r="K183" s="339"/>
      <c r="L183" s="339"/>
      <c r="M183" s="339"/>
      <c r="N183" s="339"/>
      <c r="O183" s="339"/>
      <c r="P183" s="339"/>
      <c r="Q183" s="339"/>
      <c r="R183" s="339"/>
      <c r="S183" s="339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78"/>
      <c r="G184" s="78"/>
      <c r="H184" s="78"/>
      <c r="I184" s="78"/>
      <c r="J184" s="78"/>
      <c r="K184" s="339"/>
      <c r="L184" s="339"/>
      <c r="M184" s="339"/>
      <c r="N184" s="339"/>
      <c r="O184" s="339"/>
      <c r="P184" s="339"/>
      <c r="Q184" s="339"/>
      <c r="R184" s="339"/>
      <c r="S184" s="339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78"/>
      <c r="G185" s="78"/>
      <c r="H185" s="78"/>
      <c r="I185" s="78"/>
      <c r="J185" s="78"/>
      <c r="K185" s="339"/>
      <c r="L185" s="339"/>
      <c r="M185" s="339"/>
      <c r="N185" s="339"/>
      <c r="O185" s="339"/>
      <c r="P185" s="339"/>
      <c r="Q185" s="339"/>
      <c r="R185" s="339"/>
      <c r="S185" s="339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78"/>
      <c r="G186" s="78"/>
      <c r="H186" s="78"/>
      <c r="I186" s="78"/>
      <c r="J186" s="78"/>
      <c r="K186" s="339"/>
      <c r="L186" s="339"/>
      <c r="M186" s="339"/>
      <c r="N186" s="339"/>
      <c r="O186" s="339"/>
      <c r="P186" s="339"/>
      <c r="Q186" s="339"/>
      <c r="R186" s="339"/>
      <c r="S186" s="339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78"/>
      <c r="G187" s="78"/>
      <c r="H187" s="78"/>
      <c r="I187" s="78"/>
      <c r="J187" s="78"/>
      <c r="K187" s="339"/>
      <c r="L187" s="339"/>
      <c r="M187" s="339"/>
      <c r="N187" s="339"/>
      <c r="O187" s="339"/>
      <c r="P187" s="339"/>
      <c r="Q187" s="339"/>
      <c r="R187" s="339"/>
      <c r="S187" s="339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78"/>
      <c r="G188" s="78"/>
      <c r="H188" s="78"/>
      <c r="I188" s="78"/>
      <c r="J188" s="78"/>
      <c r="K188" s="339"/>
      <c r="L188" s="339"/>
      <c r="M188" s="339"/>
      <c r="N188" s="339"/>
      <c r="O188" s="339"/>
      <c r="P188" s="339"/>
      <c r="Q188" s="339"/>
      <c r="R188" s="339"/>
      <c r="S188" s="339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78"/>
      <c r="G189" s="78"/>
      <c r="H189" s="78"/>
      <c r="I189" s="78"/>
      <c r="J189" s="78"/>
      <c r="K189" s="339"/>
      <c r="L189" s="339"/>
      <c r="M189" s="339"/>
      <c r="N189" s="339"/>
      <c r="O189" s="339"/>
      <c r="P189" s="339"/>
      <c r="Q189" s="339"/>
      <c r="R189" s="339"/>
      <c r="S189" s="339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78"/>
      <c r="G190" s="78"/>
      <c r="H190" s="78"/>
      <c r="I190" s="78"/>
      <c r="J190" s="78"/>
      <c r="K190" s="339"/>
      <c r="L190" s="339"/>
      <c r="M190" s="339"/>
      <c r="N190" s="339"/>
      <c r="O190" s="339"/>
      <c r="P190" s="339"/>
      <c r="Q190" s="339"/>
      <c r="R190" s="339"/>
      <c r="S190" s="339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78"/>
      <c r="G191" s="78"/>
      <c r="H191" s="78"/>
      <c r="I191" s="78"/>
      <c r="J191" s="78"/>
      <c r="K191" s="339"/>
      <c r="L191" s="339"/>
      <c r="M191" s="339"/>
      <c r="N191" s="339"/>
      <c r="O191" s="339"/>
      <c r="P191" s="339"/>
      <c r="Q191" s="339"/>
      <c r="R191" s="339"/>
      <c r="S191" s="339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78"/>
      <c r="G192" s="78"/>
      <c r="H192" s="78"/>
      <c r="I192" s="78"/>
      <c r="J192" s="78"/>
      <c r="K192" s="339"/>
      <c r="L192" s="339"/>
      <c r="M192" s="339"/>
      <c r="N192" s="339"/>
      <c r="O192" s="339"/>
      <c r="P192" s="339"/>
      <c r="Q192" s="339"/>
      <c r="R192" s="339"/>
      <c r="S192" s="339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78"/>
      <c r="G193" s="78"/>
      <c r="H193" s="78"/>
      <c r="I193" s="78"/>
      <c r="J193" s="78"/>
      <c r="K193" s="339"/>
      <c r="L193" s="339"/>
      <c r="M193" s="339"/>
      <c r="N193" s="339"/>
      <c r="O193" s="339"/>
      <c r="P193" s="339"/>
      <c r="Q193" s="339"/>
      <c r="R193" s="339"/>
      <c r="S193" s="339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78"/>
      <c r="G194" s="78"/>
      <c r="H194" s="78"/>
      <c r="I194" s="78"/>
      <c r="J194" s="78"/>
      <c r="K194" s="339"/>
      <c r="L194" s="339"/>
      <c r="M194" s="339"/>
      <c r="N194" s="339"/>
      <c r="O194" s="339"/>
      <c r="P194" s="339"/>
      <c r="Q194" s="339"/>
      <c r="R194" s="339"/>
      <c r="S194" s="339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78"/>
      <c r="G195" s="78"/>
      <c r="H195" s="78"/>
      <c r="I195" s="78"/>
      <c r="J195" s="78"/>
      <c r="K195" s="339"/>
      <c r="L195" s="339"/>
      <c r="M195" s="339"/>
      <c r="N195" s="339"/>
      <c r="O195" s="339"/>
      <c r="P195" s="339"/>
      <c r="Q195" s="339"/>
      <c r="R195" s="339"/>
      <c r="S195" s="339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78"/>
      <c r="G196" s="78"/>
      <c r="H196" s="78"/>
      <c r="I196" s="78"/>
      <c r="J196" s="78"/>
      <c r="K196" s="339"/>
      <c r="L196" s="339"/>
      <c r="M196" s="339"/>
      <c r="N196" s="339"/>
      <c r="O196" s="339"/>
      <c r="P196" s="339"/>
      <c r="Q196" s="339"/>
      <c r="R196" s="339"/>
      <c r="S196" s="339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78"/>
      <c r="G197" s="78"/>
      <c r="H197" s="78"/>
      <c r="I197" s="78"/>
      <c r="J197" s="78"/>
      <c r="K197" s="339"/>
      <c r="L197" s="339"/>
      <c r="M197" s="339"/>
      <c r="N197" s="339"/>
      <c r="O197" s="339"/>
      <c r="P197" s="339"/>
      <c r="Q197" s="339"/>
      <c r="R197" s="339"/>
      <c r="S197" s="339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78"/>
      <c r="G198" s="78"/>
      <c r="H198" s="78"/>
      <c r="I198" s="78"/>
      <c r="J198" s="78"/>
      <c r="K198" s="339"/>
      <c r="L198" s="339"/>
      <c r="M198" s="339"/>
      <c r="N198" s="339"/>
      <c r="O198" s="339"/>
      <c r="P198" s="339"/>
      <c r="Q198" s="339"/>
      <c r="R198" s="339"/>
      <c r="S198" s="339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78"/>
      <c r="G199" s="78"/>
      <c r="H199" s="78"/>
      <c r="I199" s="78"/>
      <c r="J199" s="78"/>
      <c r="K199" s="339"/>
      <c r="L199" s="339"/>
      <c r="M199" s="339"/>
      <c r="N199" s="339"/>
      <c r="O199" s="339"/>
      <c r="P199" s="339"/>
      <c r="Q199" s="339"/>
      <c r="R199" s="339"/>
      <c r="S199" s="339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78"/>
      <c r="G200" s="78"/>
      <c r="H200" s="78"/>
      <c r="I200" s="78"/>
      <c r="J200" s="78"/>
      <c r="K200" s="339"/>
      <c r="L200" s="339"/>
      <c r="M200" s="339"/>
      <c r="N200" s="339"/>
      <c r="O200" s="339"/>
      <c r="P200" s="339"/>
      <c r="Q200" s="339"/>
      <c r="R200" s="339"/>
      <c r="S200" s="339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78"/>
      <c r="G201" s="78"/>
      <c r="H201" s="78"/>
      <c r="I201" s="78"/>
      <c r="J201" s="78"/>
      <c r="K201" s="339"/>
      <c r="L201" s="339"/>
      <c r="M201" s="339"/>
      <c r="N201" s="339"/>
      <c r="O201" s="339"/>
      <c r="P201" s="339"/>
      <c r="Q201" s="339"/>
      <c r="R201" s="339"/>
      <c r="S201" s="339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78"/>
      <c r="G202" s="78"/>
      <c r="H202" s="78"/>
      <c r="I202" s="78"/>
      <c r="J202" s="78"/>
      <c r="K202" s="339"/>
      <c r="L202" s="339"/>
      <c r="M202" s="339"/>
      <c r="N202" s="339"/>
      <c r="O202" s="339"/>
      <c r="P202" s="339"/>
      <c r="Q202" s="339"/>
      <c r="R202" s="339"/>
      <c r="S202" s="339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78"/>
      <c r="G203" s="78"/>
      <c r="H203" s="78"/>
      <c r="I203" s="78"/>
      <c r="J203" s="78"/>
      <c r="K203" s="339"/>
      <c r="L203" s="339"/>
      <c r="M203" s="339"/>
      <c r="N203" s="339"/>
      <c r="O203" s="339"/>
      <c r="P203" s="339"/>
      <c r="Q203" s="339"/>
      <c r="R203" s="339"/>
      <c r="S203" s="339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78"/>
      <c r="G204" s="78"/>
      <c r="H204" s="78"/>
      <c r="I204" s="78"/>
      <c r="J204" s="78"/>
      <c r="K204" s="339"/>
      <c r="L204" s="339"/>
      <c r="M204" s="339"/>
      <c r="N204" s="339"/>
      <c r="O204" s="339"/>
      <c r="P204" s="339"/>
      <c r="Q204" s="339"/>
      <c r="R204" s="339"/>
      <c r="S204" s="339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78"/>
      <c r="G205" s="78"/>
      <c r="H205" s="78"/>
      <c r="I205" s="78"/>
      <c r="J205" s="78"/>
      <c r="K205" s="339"/>
      <c r="L205" s="339"/>
      <c r="M205" s="339"/>
      <c r="N205" s="339"/>
      <c r="O205" s="339"/>
      <c r="P205" s="339"/>
      <c r="Q205" s="339"/>
      <c r="R205" s="339"/>
      <c r="S205" s="339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78"/>
      <c r="G206" s="78"/>
      <c r="H206" s="78"/>
      <c r="I206" s="78"/>
      <c r="J206" s="78"/>
      <c r="K206" s="339"/>
      <c r="L206" s="339"/>
      <c r="M206" s="339"/>
      <c r="N206" s="339"/>
      <c r="O206" s="339"/>
      <c r="P206" s="339"/>
      <c r="Q206" s="339"/>
      <c r="R206" s="339"/>
      <c r="S206" s="339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78"/>
      <c r="G207" s="78"/>
      <c r="H207" s="78"/>
      <c r="I207" s="78"/>
      <c r="J207" s="78"/>
      <c r="K207" s="339"/>
      <c r="L207" s="339"/>
      <c r="M207" s="339"/>
      <c r="N207" s="339"/>
      <c r="O207" s="339"/>
      <c r="P207" s="339"/>
      <c r="Q207" s="339"/>
      <c r="R207" s="339"/>
      <c r="S207" s="339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78"/>
      <c r="G208" s="78"/>
      <c r="H208" s="78"/>
      <c r="I208" s="78"/>
      <c r="J208" s="78"/>
      <c r="K208" s="339"/>
      <c r="L208" s="339"/>
      <c r="M208" s="339"/>
      <c r="N208" s="339"/>
      <c r="O208" s="339"/>
      <c r="P208" s="339"/>
      <c r="Q208" s="339"/>
      <c r="R208" s="339"/>
      <c r="S208" s="339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78"/>
      <c r="G209" s="78"/>
      <c r="H209" s="78"/>
      <c r="I209" s="78"/>
      <c r="J209" s="78"/>
      <c r="K209" s="339"/>
      <c r="L209" s="339"/>
      <c r="M209" s="339"/>
      <c r="N209" s="339"/>
      <c r="O209" s="339"/>
      <c r="P209" s="339"/>
      <c r="Q209" s="339"/>
      <c r="R209" s="339"/>
      <c r="S209" s="339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78"/>
      <c r="G210" s="78"/>
      <c r="H210" s="78"/>
      <c r="I210" s="78"/>
      <c r="J210" s="78"/>
      <c r="K210" s="339"/>
      <c r="L210" s="339"/>
      <c r="M210" s="339"/>
      <c r="N210" s="339"/>
      <c r="O210" s="339"/>
      <c r="P210" s="339"/>
      <c r="Q210" s="339"/>
      <c r="R210" s="339"/>
      <c r="S210" s="339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78"/>
      <c r="G211" s="78"/>
      <c r="H211" s="78"/>
      <c r="I211" s="78"/>
      <c r="J211" s="78"/>
      <c r="K211" s="339"/>
      <c r="L211" s="339"/>
      <c r="M211" s="339"/>
      <c r="N211" s="339"/>
      <c r="O211" s="339"/>
      <c r="P211" s="339"/>
      <c r="Q211" s="339"/>
      <c r="R211" s="339"/>
      <c r="S211" s="339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78"/>
      <c r="G212" s="78"/>
      <c r="H212" s="78"/>
      <c r="I212" s="78"/>
      <c r="J212" s="78"/>
      <c r="K212" s="339"/>
      <c r="L212" s="339"/>
      <c r="M212" s="339"/>
      <c r="N212" s="339"/>
      <c r="O212" s="339"/>
      <c r="P212" s="339"/>
      <c r="Q212" s="339"/>
      <c r="R212" s="339"/>
      <c r="S212" s="339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78"/>
      <c r="G213" s="78"/>
      <c r="H213" s="78"/>
      <c r="I213" s="78"/>
      <c r="J213" s="78"/>
      <c r="K213" s="339"/>
      <c r="L213" s="339"/>
      <c r="M213" s="339"/>
      <c r="N213" s="339"/>
      <c r="O213" s="339"/>
      <c r="P213" s="339"/>
      <c r="Q213" s="339"/>
      <c r="R213" s="339"/>
      <c r="S213" s="339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78"/>
      <c r="G214" s="78"/>
      <c r="H214" s="78"/>
      <c r="I214" s="78"/>
      <c r="J214" s="78"/>
      <c r="K214" s="339"/>
      <c r="L214" s="339"/>
      <c r="M214" s="339"/>
      <c r="N214" s="339"/>
      <c r="O214" s="339"/>
      <c r="P214" s="339"/>
      <c r="Q214" s="339"/>
      <c r="R214" s="339"/>
      <c r="S214" s="339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78"/>
      <c r="G215" s="78"/>
      <c r="H215" s="78"/>
      <c r="I215" s="78"/>
      <c r="J215" s="78"/>
      <c r="K215" s="339"/>
      <c r="L215" s="339"/>
      <c r="M215" s="339"/>
      <c r="N215" s="339"/>
      <c r="O215" s="339"/>
      <c r="P215" s="339"/>
      <c r="Q215" s="339"/>
      <c r="R215" s="339"/>
      <c r="S215" s="339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78"/>
      <c r="G216" s="78"/>
      <c r="H216" s="78"/>
      <c r="I216" s="78"/>
      <c r="J216" s="78"/>
      <c r="K216" s="339"/>
      <c r="L216" s="339"/>
      <c r="M216" s="339"/>
      <c r="N216" s="339"/>
      <c r="O216" s="339"/>
      <c r="P216" s="339"/>
      <c r="Q216" s="339"/>
      <c r="R216" s="339"/>
      <c r="S216" s="339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78"/>
      <c r="G217" s="78"/>
      <c r="H217" s="78"/>
      <c r="I217" s="78"/>
      <c r="J217" s="78"/>
      <c r="K217" s="339"/>
      <c r="L217" s="339"/>
      <c r="M217" s="339"/>
      <c r="N217" s="339"/>
      <c r="O217" s="339"/>
      <c r="P217" s="339"/>
      <c r="Q217" s="339"/>
      <c r="R217" s="339"/>
      <c r="S217" s="339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78"/>
      <c r="G218" s="78"/>
      <c r="H218" s="78"/>
      <c r="I218" s="78"/>
      <c r="J218" s="78"/>
      <c r="K218" s="339"/>
      <c r="L218" s="339"/>
      <c r="M218" s="339"/>
      <c r="N218" s="339"/>
      <c r="O218" s="339"/>
      <c r="P218" s="339"/>
      <c r="Q218" s="339"/>
      <c r="R218" s="339"/>
      <c r="S218" s="339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78"/>
      <c r="G219" s="78"/>
      <c r="H219" s="78"/>
      <c r="I219" s="78"/>
      <c r="J219" s="78"/>
      <c r="K219" s="339"/>
      <c r="L219" s="339"/>
      <c r="M219" s="339"/>
      <c r="N219" s="339"/>
      <c r="O219" s="339"/>
      <c r="P219" s="339"/>
      <c r="Q219" s="339"/>
      <c r="R219" s="339"/>
      <c r="S219" s="339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78"/>
      <c r="G220" s="78"/>
      <c r="H220" s="78"/>
      <c r="I220" s="78"/>
      <c r="J220" s="78"/>
      <c r="K220" s="339"/>
      <c r="L220" s="339"/>
      <c r="M220" s="339"/>
      <c r="N220" s="339"/>
      <c r="O220" s="339"/>
      <c r="P220" s="339"/>
      <c r="Q220" s="339"/>
      <c r="R220" s="339"/>
      <c r="S220" s="339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78"/>
      <c r="G221" s="78"/>
      <c r="H221" s="78"/>
      <c r="I221" s="78"/>
      <c r="J221" s="78"/>
      <c r="K221" s="339"/>
      <c r="L221" s="339"/>
      <c r="M221" s="339"/>
      <c r="N221" s="339"/>
      <c r="O221" s="339"/>
      <c r="P221" s="339"/>
      <c r="Q221" s="339"/>
      <c r="R221" s="339"/>
      <c r="S221" s="339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78"/>
      <c r="G222" s="78"/>
      <c r="H222" s="78"/>
      <c r="I222" s="78"/>
      <c r="J222" s="78"/>
      <c r="K222" s="339"/>
      <c r="L222" s="339"/>
      <c r="M222" s="339"/>
      <c r="N222" s="339"/>
      <c r="O222" s="339"/>
      <c r="P222" s="339"/>
      <c r="Q222" s="339"/>
      <c r="R222" s="339"/>
      <c r="S222" s="339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78"/>
      <c r="G223" s="78"/>
      <c r="H223" s="78"/>
      <c r="I223" s="78"/>
      <c r="J223" s="78"/>
      <c r="K223" s="339"/>
      <c r="L223" s="339"/>
      <c r="M223" s="339"/>
      <c r="N223" s="339"/>
      <c r="O223" s="339"/>
      <c r="P223" s="339"/>
      <c r="Q223" s="339"/>
      <c r="R223" s="339"/>
      <c r="S223" s="339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78"/>
      <c r="G224" s="78"/>
      <c r="H224" s="78"/>
      <c r="I224" s="78"/>
      <c r="J224" s="78"/>
      <c r="K224" s="339"/>
      <c r="L224" s="339"/>
      <c r="M224" s="339"/>
      <c r="N224" s="339"/>
      <c r="O224" s="339"/>
      <c r="P224" s="339"/>
      <c r="Q224" s="339"/>
      <c r="R224" s="339"/>
      <c r="S224" s="339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78"/>
      <c r="G225" s="78"/>
      <c r="H225" s="78"/>
      <c r="I225" s="78"/>
      <c r="J225" s="78"/>
      <c r="K225" s="339"/>
      <c r="L225" s="339"/>
      <c r="M225" s="339"/>
      <c r="N225" s="339"/>
      <c r="O225" s="339"/>
      <c r="P225" s="339"/>
      <c r="Q225" s="339"/>
      <c r="R225" s="339"/>
      <c r="S225" s="339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78"/>
      <c r="G226" s="78"/>
      <c r="H226" s="78"/>
      <c r="I226" s="78"/>
      <c r="J226" s="78"/>
      <c r="K226" s="339"/>
      <c r="L226" s="339"/>
      <c r="M226" s="339"/>
      <c r="N226" s="339"/>
      <c r="O226" s="339"/>
      <c r="P226" s="339"/>
      <c r="Q226" s="339"/>
      <c r="R226" s="339"/>
      <c r="S226" s="339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78"/>
      <c r="G227" s="78"/>
      <c r="H227" s="78"/>
      <c r="I227" s="78"/>
      <c r="J227" s="78"/>
      <c r="K227" s="339"/>
      <c r="L227" s="339"/>
      <c r="M227" s="339"/>
      <c r="N227" s="339"/>
      <c r="O227" s="339"/>
      <c r="P227" s="339"/>
      <c r="Q227" s="339"/>
      <c r="R227" s="339"/>
      <c r="S227" s="339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78"/>
      <c r="G228" s="78"/>
      <c r="H228" s="78"/>
      <c r="I228" s="78"/>
      <c r="J228" s="78"/>
      <c r="K228" s="339"/>
      <c r="L228" s="339"/>
      <c r="M228" s="339"/>
      <c r="N228" s="339"/>
      <c r="O228" s="339"/>
      <c r="P228" s="339"/>
      <c r="Q228" s="339"/>
      <c r="R228" s="339"/>
      <c r="S228" s="339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78"/>
      <c r="G229" s="78"/>
      <c r="H229" s="78"/>
      <c r="I229" s="78"/>
      <c r="J229" s="78"/>
      <c r="K229" s="339"/>
      <c r="L229" s="339"/>
      <c r="M229" s="339"/>
      <c r="N229" s="339"/>
      <c r="O229" s="339"/>
      <c r="P229" s="339"/>
      <c r="Q229" s="339"/>
      <c r="R229" s="339"/>
      <c r="S229" s="339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78"/>
      <c r="G230" s="78"/>
      <c r="H230" s="78"/>
      <c r="I230" s="78"/>
      <c r="J230" s="78"/>
      <c r="K230" s="339"/>
      <c r="L230" s="339"/>
      <c r="M230" s="339"/>
      <c r="N230" s="339"/>
      <c r="O230" s="339"/>
      <c r="P230" s="339"/>
      <c r="Q230" s="339"/>
      <c r="R230" s="339"/>
      <c r="S230" s="339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78"/>
      <c r="G231" s="78"/>
      <c r="H231" s="78"/>
      <c r="I231" s="78"/>
      <c r="J231" s="78"/>
      <c r="K231" s="339"/>
      <c r="L231" s="339"/>
      <c r="M231" s="339"/>
      <c r="N231" s="339"/>
      <c r="O231" s="339"/>
      <c r="P231" s="339"/>
      <c r="Q231" s="339"/>
      <c r="R231" s="339"/>
      <c r="S231" s="339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78"/>
      <c r="G232" s="78"/>
      <c r="H232" s="78"/>
      <c r="I232" s="78"/>
      <c r="J232" s="78"/>
      <c r="K232" s="339"/>
      <c r="L232" s="339"/>
      <c r="M232" s="339"/>
      <c r="N232" s="339"/>
      <c r="O232" s="339"/>
      <c r="P232" s="339"/>
      <c r="Q232" s="339"/>
      <c r="R232" s="339"/>
      <c r="S232" s="339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78"/>
      <c r="G233" s="78"/>
      <c r="H233" s="78"/>
      <c r="I233" s="78"/>
      <c r="J233" s="78"/>
      <c r="K233" s="339"/>
      <c r="L233" s="339"/>
      <c r="M233" s="339"/>
      <c r="N233" s="339"/>
      <c r="O233" s="339"/>
      <c r="P233" s="339"/>
      <c r="Q233" s="339"/>
      <c r="R233" s="339"/>
      <c r="S233" s="339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78"/>
      <c r="G234" s="78"/>
      <c r="H234" s="78"/>
      <c r="I234" s="78"/>
      <c r="J234" s="78"/>
      <c r="K234" s="339"/>
      <c r="L234" s="339"/>
      <c r="M234" s="339"/>
      <c r="N234" s="339"/>
      <c r="O234" s="339"/>
      <c r="P234" s="339"/>
      <c r="Q234" s="339"/>
      <c r="R234" s="339"/>
      <c r="S234" s="339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78"/>
      <c r="G235" s="78"/>
      <c r="H235" s="78"/>
      <c r="I235" s="78"/>
      <c r="J235" s="78"/>
      <c r="K235" s="339"/>
      <c r="L235" s="339"/>
      <c r="M235" s="339"/>
      <c r="N235" s="339"/>
      <c r="O235" s="339"/>
      <c r="P235" s="339"/>
      <c r="Q235" s="339"/>
      <c r="R235" s="339"/>
      <c r="S235" s="339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78"/>
      <c r="G236" s="78"/>
      <c r="H236" s="78"/>
      <c r="I236" s="78"/>
      <c r="J236" s="78"/>
      <c r="K236" s="339"/>
      <c r="L236" s="339"/>
      <c r="M236" s="339"/>
      <c r="N236" s="339"/>
      <c r="O236" s="339"/>
      <c r="P236" s="339"/>
      <c r="Q236" s="339"/>
      <c r="R236" s="339"/>
      <c r="S236" s="339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78"/>
      <c r="G237" s="78"/>
      <c r="H237" s="78"/>
      <c r="I237" s="78"/>
      <c r="J237" s="78"/>
      <c r="K237" s="339"/>
      <c r="L237" s="339"/>
      <c r="M237" s="339"/>
      <c r="N237" s="339"/>
      <c r="O237" s="339"/>
      <c r="P237" s="339"/>
      <c r="Q237" s="339"/>
      <c r="R237" s="339"/>
      <c r="S237" s="339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78"/>
      <c r="G238" s="78"/>
      <c r="H238" s="78"/>
      <c r="I238" s="78"/>
      <c r="J238" s="78"/>
      <c r="K238" s="339"/>
      <c r="L238" s="339"/>
      <c r="M238" s="339"/>
      <c r="N238" s="339"/>
      <c r="O238" s="339"/>
      <c r="P238" s="339"/>
      <c r="Q238" s="339"/>
      <c r="R238" s="339"/>
      <c r="S238" s="339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78"/>
      <c r="G239" s="78"/>
      <c r="H239" s="78"/>
      <c r="I239" s="78"/>
      <c r="J239" s="78"/>
      <c r="K239" s="339"/>
      <c r="L239" s="339"/>
      <c r="M239" s="339"/>
      <c r="N239" s="339"/>
      <c r="O239" s="339"/>
      <c r="P239" s="339"/>
      <c r="Q239" s="339"/>
      <c r="R239" s="339"/>
      <c r="S239" s="339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78"/>
      <c r="G240" s="78"/>
      <c r="H240" s="78"/>
      <c r="I240" s="78"/>
      <c r="J240" s="78"/>
      <c r="K240" s="339"/>
      <c r="L240" s="339"/>
      <c r="M240" s="339"/>
      <c r="N240" s="339"/>
      <c r="O240" s="339"/>
      <c r="P240" s="339"/>
      <c r="Q240" s="339"/>
      <c r="R240" s="339"/>
      <c r="S240" s="339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78"/>
      <c r="G241" s="78"/>
      <c r="H241" s="78"/>
      <c r="I241" s="78"/>
      <c r="J241" s="78"/>
      <c r="K241" s="339"/>
      <c r="L241" s="339"/>
      <c r="M241" s="339"/>
      <c r="N241" s="339"/>
      <c r="O241" s="339"/>
      <c r="P241" s="339"/>
      <c r="Q241" s="339"/>
      <c r="R241" s="339"/>
      <c r="S241" s="339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78"/>
      <c r="G242" s="78"/>
      <c r="H242" s="78"/>
      <c r="I242" s="78"/>
      <c r="J242" s="78"/>
      <c r="K242" s="339"/>
      <c r="L242" s="339"/>
      <c r="M242" s="339"/>
      <c r="N242" s="339"/>
      <c r="O242" s="339"/>
      <c r="P242" s="339"/>
      <c r="Q242" s="339"/>
      <c r="R242" s="339"/>
      <c r="S242" s="339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78"/>
      <c r="G243" s="78"/>
      <c r="H243" s="78"/>
      <c r="I243" s="78"/>
      <c r="J243" s="78"/>
      <c r="K243" s="339"/>
      <c r="L243" s="339"/>
      <c r="M243" s="339"/>
      <c r="N243" s="339"/>
      <c r="O243" s="339"/>
      <c r="P243" s="339"/>
      <c r="Q243" s="339"/>
      <c r="R243" s="339"/>
      <c r="S243" s="339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78"/>
      <c r="G244" s="78"/>
      <c r="H244" s="78"/>
      <c r="I244" s="78"/>
      <c r="J244" s="78"/>
      <c r="K244" s="339"/>
      <c r="L244" s="339"/>
      <c r="M244" s="339"/>
      <c r="N244" s="339"/>
      <c r="O244" s="339"/>
      <c r="P244" s="339"/>
      <c r="Q244" s="339"/>
      <c r="R244" s="339"/>
      <c r="S244" s="339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78"/>
      <c r="G245" s="78"/>
      <c r="H245" s="78"/>
      <c r="I245" s="78"/>
      <c r="J245" s="78"/>
      <c r="K245" s="339"/>
      <c r="L245" s="339"/>
      <c r="M245" s="339"/>
      <c r="N245" s="339"/>
      <c r="O245" s="339"/>
      <c r="P245" s="339"/>
      <c r="Q245" s="339"/>
      <c r="R245" s="339"/>
      <c r="S245" s="339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78"/>
      <c r="G246" s="78"/>
      <c r="H246" s="78"/>
      <c r="I246" s="78"/>
      <c r="J246" s="78"/>
      <c r="K246" s="339"/>
      <c r="L246" s="339"/>
      <c r="M246" s="339"/>
      <c r="N246" s="339"/>
      <c r="O246" s="339"/>
      <c r="P246" s="339"/>
      <c r="Q246" s="339"/>
      <c r="R246" s="339"/>
      <c r="S246" s="339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78"/>
      <c r="G247" s="78"/>
      <c r="H247" s="78"/>
      <c r="I247" s="78"/>
      <c r="J247" s="78"/>
      <c r="K247" s="339"/>
      <c r="L247" s="339"/>
      <c r="M247" s="339"/>
      <c r="N247" s="339"/>
      <c r="O247" s="339"/>
      <c r="P247" s="339"/>
      <c r="Q247" s="339"/>
      <c r="R247" s="339"/>
      <c r="S247" s="339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78"/>
      <c r="G248" s="78"/>
      <c r="H248" s="78"/>
      <c r="I248" s="78"/>
      <c r="J248" s="78"/>
      <c r="K248" s="339"/>
      <c r="L248" s="339"/>
      <c r="M248" s="339"/>
      <c r="N248" s="339"/>
      <c r="O248" s="339"/>
      <c r="P248" s="339"/>
      <c r="Q248" s="339"/>
      <c r="R248" s="339"/>
      <c r="S248" s="339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78"/>
      <c r="G249" s="78"/>
      <c r="H249" s="78"/>
      <c r="I249" s="78"/>
      <c r="J249" s="78"/>
      <c r="K249" s="339"/>
      <c r="L249" s="339"/>
      <c r="M249" s="339"/>
      <c r="N249" s="339"/>
      <c r="O249" s="339"/>
      <c r="P249" s="339"/>
      <c r="Q249" s="339"/>
      <c r="R249" s="339"/>
      <c r="S249" s="339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78"/>
      <c r="G250" s="78"/>
      <c r="H250" s="78"/>
      <c r="I250" s="78"/>
      <c r="J250" s="78"/>
      <c r="K250" s="339"/>
      <c r="L250" s="339"/>
      <c r="M250" s="339"/>
      <c r="N250" s="339"/>
      <c r="O250" s="339"/>
      <c r="P250" s="339"/>
      <c r="Q250" s="339"/>
      <c r="R250" s="339"/>
      <c r="S250" s="339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78"/>
      <c r="G251" s="78"/>
      <c r="H251" s="78"/>
      <c r="I251" s="78"/>
      <c r="J251" s="78"/>
      <c r="K251" s="339"/>
      <c r="L251" s="339"/>
      <c r="M251" s="339"/>
      <c r="N251" s="339"/>
      <c r="O251" s="339"/>
      <c r="P251" s="339"/>
      <c r="Q251" s="339"/>
      <c r="R251" s="339"/>
      <c r="S251" s="339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78"/>
      <c r="G252" s="78"/>
      <c r="H252" s="78"/>
      <c r="I252" s="78"/>
      <c r="J252" s="78"/>
      <c r="K252" s="339"/>
      <c r="L252" s="339"/>
      <c r="M252" s="339"/>
      <c r="N252" s="339"/>
      <c r="O252" s="339"/>
      <c r="P252" s="339"/>
      <c r="Q252" s="339"/>
      <c r="R252" s="339"/>
      <c r="S252" s="339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78"/>
      <c r="G253" s="78"/>
      <c r="H253" s="78"/>
      <c r="I253" s="78"/>
      <c r="J253" s="78"/>
      <c r="K253" s="339"/>
      <c r="L253" s="339"/>
      <c r="M253" s="339"/>
      <c r="N253" s="339"/>
      <c r="O253" s="339"/>
      <c r="P253" s="339"/>
      <c r="Q253" s="339"/>
      <c r="R253" s="339"/>
      <c r="S253" s="339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78"/>
      <c r="G254" s="78"/>
      <c r="H254" s="78"/>
      <c r="I254" s="78"/>
      <c r="J254" s="78"/>
      <c r="K254" s="339"/>
      <c r="L254" s="339"/>
      <c r="M254" s="339"/>
      <c r="N254" s="339"/>
      <c r="O254" s="339"/>
      <c r="P254" s="339"/>
      <c r="Q254" s="339"/>
      <c r="R254" s="339"/>
      <c r="S254" s="339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78"/>
      <c r="G255" s="78"/>
      <c r="H255" s="78"/>
      <c r="I255" s="78"/>
      <c r="J255" s="78"/>
      <c r="K255" s="339"/>
      <c r="L255" s="339"/>
      <c r="M255" s="339"/>
      <c r="N255" s="339"/>
      <c r="O255" s="339"/>
      <c r="P255" s="339"/>
      <c r="Q255" s="339"/>
      <c r="R255" s="339"/>
      <c r="S255" s="339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78"/>
      <c r="G256" s="78"/>
      <c r="H256" s="78"/>
      <c r="I256" s="78"/>
      <c r="J256" s="78"/>
      <c r="K256" s="339"/>
      <c r="L256" s="339"/>
      <c r="M256" s="339"/>
      <c r="N256" s="339"/>
      <c r="O256" s="339"/>
      <c r="P256" s="339"/>
      <c r="Q256" s="339"/>
      <c r="R256" s="339"/>
      <c r="S256" s="339"/>
      <c r="T256" s="1"/>
      <c r="U256" s="1"/>
      <c r="V256" s="1"/>
      <c r="W256" s="1"/>
      <c r="X256" s="1"/>
      <c r="Y256" s="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J4"/>
  </mergeCells>
  <pageMargins left="0" right="0" top="0" bottom="0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Y994"/>
  <sheetViews>
    <sheetView showGridLines="0" topLeftCell="A8" workbookViewId="0">
      <selection activeCell="C17" sqref="C17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38" customWidth="1"/>
    <col min="4" max="4" width="17.42578125" customWidth="1"/>
    <col min="5" max="5" width="8.42578125" customWidth="1"/>
    <col min="6" max="6" width="15.85546875" customWidth="1"/>
    <col min="7" max="7" width="16" customWidth="1"/>
    <col min="8" max="8" width="13.7109375" customWidth="1"/>
    <col min="9" max="9" width="17.42578125" customWidth="1"/>
    <col min="10" max="10" width="20.85546875" customWidth="1"/>
    <col min="11" max="11" width="17.42578125" customWidth="1"/>
    <col min="12" max="12" width="12.5703125" customWidth="1"/>
    <col min="13" max="25" width="12.28515625" customWidth="1"/>
  </cols>
  <sheetData>
    <row r="1" spans="1:25" ht="12" customHeight="1">
      <c r="A1" s="219"/>
      <c r="B1" s="220"/>
      <c r="C1" s="353" t="s">
        <v>225</v>
      </c>
      <c r="D1" s="346"/>
      <c r="E1" s="346"/>
      <c r="F1" s="346"/>
      <c r="G1" s="102"/>
      <c r="H1" s="102"/>
      <c r="I1" s="102"/>
      <c r="J1" s="102"/>
      <c r="K1" s="2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</row>
    <row r="2" spans="1:25" ht="12" customHeight="1">
      <c r="A2" s="219"/>
      <c r="B2" s="220"/>
      <c r="C2" s="346"/>
      <c r="D2" s="346"/>
      <c r="E2" s="346"/>
      <c r="F2" s="346"/>
      <c r="G2" s="102"/>
      <c r="H2" s="102"/>
      <c r="I2" s="102"/>
      <c r="J2" s="102"/>
      <c r="K2" s="2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</row>
    <row r="3" spans="1:25" ht="12" customHeight="1">
      <c r="A3" s="219"/>
      <c r="B3" s="220"/>
      <c r="C3" s="103"/>
      <c r="D3" s="102"/>
      <c r="E3" s="102"/>
      <c r="F3" s="102"/>
      <c r="G3" s="102"/>
      <c r="H3" s="102"/>
      <c r="I3" s="102"/>
      <c r="J3" s="102"/>
      <c r="K3" s="2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</row>
    <row r="4" spans="1:25" ht="15" customHeight="1">
      <c r="A4" s="219"/>
      <c r="B4" s="220"/>
      <c r="C4" s="104" t="s">
        <v>226</v>
      </c>
      <c r="D4" s="105" t="s">
        <v>227</v>
      </c>
      <c r="E4" s="105" t="s">
        <v>228</v>
      </c>
      <c r="F4" s="105" t="s">
        <v>229</v>
      </c>
      <c r="G4" s="105" t="s">
        <v>230</v>
      </c>
      <c r="H4" s="102"/>
      <c r="I4" s="102"/>
      <c r="J4" s="102"/>
      <c r="K4" s="2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</row>
    <row r="5" spans="1:25" ht="14.45">
      <c r="A5" s="219"/>
      <c r="B5" s="220"/>
      <c r="C5" s="256" t="s">
        <v>231</v>
      </c>
      <c r="D5" s="257">
        <v>1</v>
      </c>
      <c r="E5" s="106" t="s">
        <v>232</v>
      </c>
      <c r="F5" s="257">
        <v>0</v>
      </c>
      <c r="G5" s="102">
        <f>D5*F5</f>
        <v>0</v>
      </c>
      <c r="H5" s="102"/>
      <c r="I5" s="102"/>
      <c r="J5" s="102"/>
      <c r="K5" s="2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</row>
    <row r="6" spans="1:25" ht="13.5" customHeight="1">
      <c r="A6" s="219"/>
      <c r="B6" s="220"/>
      <c r="C6" s="256" t="s">
        <v>233</v>
      </c>
      <c r="D6" s="257">
        <v>1</v>
      </c>
      <c r="E6" s="106" t="s">
        <v>232</v>
      </c>
      <c r="F6" s="257">
        <v>0</v>
      </c>
      <c r="G6" s="102"/>
      <c r="H6" s="102"/>
      <c r="I6" s="102"/>
      <c r="J6" s="102"/>
      <c r="K6" s="2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</row>
    <row r="7" spans="1:25" ht="13.5" customHeight="1">
      <c r="A7" s="219"/>
      <c r="B7" s="220"/>
      <c r="C7" s="256" t="s">
        <v>234</v>
      </c>
      <c r="D7" s="257">
        <v>1</v>
      </c>
      <c r="E7" s="106" t="s">
        <v>232</v>
      </c>
      <c r="F7" s="257">
        <v>2300000</v>
      </c>
      <c r="G7" s="102">
        <f>D7*F7</f>
        <v>2300000</v>
      </c>
      <c r="H7" s="102"/>
      <c r="I7" s="102"/>
      <c r="J7" s="102"/>
      <c r="K7" s="2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</row>
    <row r="8" spans="1:25" ht="13.5" customHeight="1">
      <c r="A8" s="219"/>
      <c r="B8" s="220"/>
      <c r="C8" s="256" t="s">
        <v>235</v>
      </c>
      <c r="D8" s="257">
        <v>1</v>
      </c>
      <c r="E8" s="106" t="s">
        <v>232</v>
      </c>
      <c r="F8" s="257">
        <v>0</v>
      </c>
      <c r="G8" s="102"/>
      <c r="H8" s="102"/>
      <c r="I8" s="102"/>
      <c r="J8" s="102"/>
      <c r="K8" s="2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</row>
    <row r="9" spans="1:25" ht="13.5" customHeight="1">
      <c r="A9" s="219"/>
      <c r="B9" s="220"/>
      <c r="C9" s="256" t="s">
        <v>236</v>
      </c>
      <c r="D9" s="257">
        <v>1</v>
      </c>
      <c r="E9" s="106" t="s">
        <v>232</v>
      </c>
      <c r="F9" s="257">
        <v>0</v>
      </c>
      <c r="G9" s="102">
        <f t="shared" ref="G9:G11" si="0">D9*F9</f>
        <v>0</v>
      </c>
      <c r="H9" s="102"/>
      <c r="I9" s="102"/>
      <c r="J9" s="102"/>
      <c r="K9" s="2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</row>
    <row r="10" spans="1:25" ht="13.5" customHeight="1">
      <c r="A10" s="219"/>
      <c r="B10" s="220"/>
      <c r="C10" s="256" t="s">
        <v>237</v>
      </c>
      <c r="D10" s="257">
        <v>1</v>
      </c>
      <c r="E10" s="106" t="s">
        <v>232</v>
      </c>
      <c r="F10" s="257">
        <v>0</v>
      </c>
      <c r="G10" s="102">
        <f t="shared" si="0"/>
        <v>0</v>
      </c>
      <c r="H10" s="102"/>
      <c r="I10" s="102"/>
      <c r="J10" s="102"/>
      <c r="K10" s="2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</row>
    <row r="11" spans="1:25" ht="14.45">
      <c r="A11" s="219"/>
      <c r="B11" s="220"/>
      <c r="C11" s="256" t="s">
        <v>166</v>
      </c>
      <c r="D11" s="257">
        <v>1</v>
      </c>
      <c r="E11" s="106" t="s">
        <v>232</v>
      </c>
      <c r="F11" s="257">
        <v>0</v>
      </c>
      <c r="G11" s="102">
        <f t="shared" si="0"/>
        <v>0</v>
      </c>
      <c r="H11" s="102"/>
      <c r="I11" s="102"/>
      <c r="J11" s="102"/>
      <c r="K11" s="2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</row>
    <row r="12" spans="1:25" ht="13.5" customHeight="1">
      <c r="A12" s="219"/>
      <c r="B12" s="220"/>
      <c r="C12" s="107" t="s">
        <v>44</v>
      </c>
      <c r="D12" s="108"/>
      <c r="E12" s="109"/>
      <c r="F12" s="109"/>
      <c r="G12" s="109">
        <f>SUM(G5:G11)</f>
        <v>2300000</v>
      </c>
      <c r="H12" s="102"/>
      <c r="I12" s="102"/>
      <c r="J12" s="102"/>
      <c r="K12" s="2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</row>
    <row r="13" spans="1:25" ht="13.5" customHeight="1">
      <c r="A13" s="219"/>
      <c r="B13" s="220"/>
      <c r="C13" s="103"/>
      <c r="D13" s="102"/>
      <c r="E13" s="102"/>
      <c r="F13" s="102"/>
      <c r="G13" s="102"/>
      <c r="H13" s="102"/>
      <c r="I13" s="102"/>
      <c r="J13" s="102"/>
      <c r="K13" s="2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</row>
    <row r="14" spans="1:25" ht="13.5" customHeight="1">
      <c r="A14" s="219"/>
      <c r="B14" s="220"/>
      <c r="C14" s="104" t="s">
        <v>238</v>
      </c>
      <c r="D14" s="105" t="s">
        <v>227</v>
      </c>
      <c r="E14" s="105" t="s">
        <v>228</v>
      </c>
      <c r="F14" s="105" t="s">
        <v>229</v>
      </c>
      <c r="G14" s="105" t="s">
        <v>230</v>
      </c>
      <c r="H14" s="102"/>
      <c r="I14" s="102"/>
      <c r="J14" s="102"/>
      <c r="K14" s="2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</row>
    <row r="15" spans="1:25" ht="13.5" customHeight="1">
      <c r="A15" s="219"/>
      <c r="B15" s="220"/>
      <c r="C15" s="256"/>
      <c r="D15" s="257">
        <v>1</v>
      </c>
      <c r="E15" s="106" t="s">
        <v>232</v>
      </c>
      <c r="F15" s="257">
        <v>0</v>
      </c>
      <c r="G15" s="102">
        <f t="shared" ref="G15:G20" si="1">D15*F15</f>
        <v>0</v>
      </c>
      <c r="H15" s="102"/>
      <c r="I15" s="102"/>
      <c r="J15" s="102"/>
      <c r="K15" s="2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</row>
    <row r="16" spans="1:25" ht="13.5" customHeight="1">
      <c r="A16" s="219"/>
      <c r="B16" s="220"/>
      <c r="C16" s="256"/>
      <c r="D16" s="257">
        <v>1</v>
      </c>
      <c r="E16" s="106" t="s">
        <v>232</v>
      </c>
      <c r="F16" s="257">
        <v>0</v>
      </c>
      <c r="G16" s="102">
        <f t="shared" si="1"/>
        <v>0</v>
      </c>
      <c r="H16" s="102"/>
      <c r="I16" s="102"/>
      <c r="J16" s="102"/>
      <c r="K16" s="2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</row>
    <row r="17" spans="1:25" ht="14.45">
      <c r="A17" s="219"/>
      <c r="B17" s="220"/>
      <c r="C17" s="256"/>
      <c r="D17" s="257">
        <v>1</v>
      </c>
      <c r="E17" s="106" t="s">
        <v>232</v>
      </c>
      <c r="F17" s="257">
        <v>0</v>
      </c>
      <c r="G17" s="102">
        <f t="shared" si="1"/>
        <v>0</v>
      </c>
      <c r="H17" s="102"/>
      <c r="I17" s="102"/>
      <c r="J17" s="102"/>
      <c r="K17" s="2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</row>
    <row r="18" spans="1:25" ht="13.5" customHeight="1">
      <c r="A18" s="219"/>
      <c r="B18" s="220"/>
      <c r="C18" s="256"/>
      <c r="D18" s="257">
        <v>1</v>
      </c>
      <c r="E18" s="106" t="s">
        <v>232</v>
      </c>
      <c r="F18" s="257">
        <v>0</v>
      </c>
      <c r="G18" s="102">
        <f t="shared" si="1"/>
        <v>0</v>
      </c>
      <c r="H18" s="102"/>
      <c r="I18" s="102"/>
      <c r="J18" s="102"/>
      <c r="K18" s="2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</row>
    <row r="19" spans="1:25" ht="13.5" customHeight="1">
      <c r="A19" s="219"/>
      <c r="B19" s="220"/>
      <c r="C19" s="256"/>
      <c r="D19" s="257">
        <v>1</v>
      </c>
      <c r="E19" s="106" t="s">
        <v>232</v>
      </c>
      <c r="F19" s="257">
        <v>0</v>
      </c>
      <c r="G19" s="102">
        <f t="shared" si="1"/>
        <v>0</v>
      </c>
      <c r="H19" s="102"/>
      <c r="I19" s="102"/>
      <c r="J19" s="102"/>
      <c r="K19" s="2"/>
      <c r="L19" s="255"/>
      <c r="M19" s="255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</row>
    <row r="20" spans="1:25" ht="13.5" customHeight="1">
      <c r="A20" s="219"/>
      <c r="B20" s="220"/>
      <c r="C20" s="256"/>
      <c r="D20" s="257">
        <v>1</v>
      </c>
      <c r="E20" s="106" t="s">
        <v>232</v>
      </c>
      <c r="F20" s="257">
        <v>0</v>
      </c>
      <c r="G20" s="102">
        <f t="shared" si="1"/>
        <v>0</v>
      </c>
      <c r="H20" s="102"/>
      <c r="I20" s="102"/>
      <c r="J20" s="102"/>
      <c r="K20" s="2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</row>
    <row r="21" spans="1:25" ht="13.5" customHeight="1">
      <c r="A21" s="219"/>
      <c r="B21" s="220"/>
      <c r="C21" s="107" t="s">
        <v>44</v>
      </c>
      <c r="D21" s="108"/>
      <c r="E21" s="109"/>
      <c r="F21" s="109"/>
      <c r="G21" s="109">
        <f>SUM(G15:G20)</f>
        <v>0</v>
      </c>
      <c r="H21" s="102"/>
      <c r="I21" s="102"/>
      <c r="J21" s="102"/>
      <c r="K21" s="2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</row>
    <row r="22" spans="1:25" ht="13.5" customHeight="1">
      <c r="A22" s="219"/>
      <c r="B22" s="220"/>
      <c r="C22" s="103"/>
      <c r="D22" s="102"/>
      <c r="E22" s="102"/>
      <c r="F22" s="102"/>
      <c r="G22" s="102"/>
      <c r="H22" s="102"/>
      <c r="I22" s="102"/>
      <c r="J22" s="102"/>
      <c r="K22" s="2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</row>
    <row r="23" spans="1:25" ht="13.5" customHeight="1">
      <c r="A23" s="219"/>
      <c r="B23" s="220"/>
      <c r="C23" s="103"/>
      <c r="D23" s="102"/>
      <c r="E23" s="102"/>
      <c r="F23" s="102"/>
      <c r="G23" s="102"/>
      <c r="H23" s="102"/>
      <c r="I23" s="102"/>
      <c r="J23" s="102"/>
      <c r="K23" s="2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</row>
    <row r="24" spans="1:25" ht="13.5" customHeight="1">
      <c r="A24" s="219"/>
      <c r="B24" s="220"/>
      <c r="C24" s="104" t="s">
        <v>239</v>
      </c>
      <c r="D24" s="105" t="s">
        <v>227</v>
      </c>
      <c r="E24" s="105" t="s">
        <v>228</v>
      </c>
      <c r="F24" s="105" t="s">
        <v>229</v>
      </c>
      <c r="G24" s="105" t="s">
        <v>230</v>
      </c>
      <c r="H24" s="102"/>
      <c r="I24" s="102"/>
      <c r="J24" s="102"/>
      <c r="K24" s="2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</row>
    <row r="25" spans="1:25" ht="13.5" customHeight="1">
      <c r="A25" s="219"/>
      <c r="B25" s="220"/>
      <c r="C25" s="256" t="s">
        <v>240</v>
      </c>
      <c r="D25" s="257">
        <v>1</v>
      </c>
      <c r="E25" s="106" t="s">
        <v>232</v>
      </c>
      <c r="F25" s="257">
        <v>0</v>
      </c>
      <c r="G25" s="102">
        <f t="shared" ref="G25:G29" si="2">D25*F25</f>
        <v>0</v>
      </c>
      <c r="H25" s="102"/>
      <c r="I25" s="102"/>
      <c r="J25" s="102"/>
      <c r="K25" s="2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</row>
    <row r="26" spans="1:25" ht="13.5" customHeight="1">
      <c r="A26" s="219"/>
      <c r="B26" s="220"/>
      <c r="C26" s="256" t="s">
        <v>241</v>
      </c>
      <c r="D26" s="257">
        <v>1</v>
      </c>
      <c r="E26" s="106" t="s">
        <v>232</v>
      </c>
      <c r="F26" s="257">
        <v>30000000</v>
      </c>
      <c r="G26" s="102">
        <f t="shared" si="2"/>
        <v>30000000</v>
      </c>
      <c r="H26" s="102"/>
      <c r="I26" s="102"/>
      <c r="J26" s="102"/>
      <c r="K26" s="2"/>
      <c r="L26" s="255"/>
      <c r="M26" s="255"/>
      <c r="N26" s="255"/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</row>
    <row r="27" spans="1:25" ht="13.5" customHeight="1">
      <c r="A27" s="219"/>
      <c r="B27" s="220"/>
      <c r="C27" s="256" t="s">
        <v>142</v>
      </c>
      <c r="D27" s="257">
        <v>1</v>
      </c>
      <c r="E27" s="106" t="s">
        <v>232</v>
      </c>
      <c r="F27" s="257">
        <v>5000000</v>
      </c>
      <c r="G27" s="102">
        <f t="shared" si="2"/>
        <v>5000000</v>
      </c>
      <c r="H27" s="102"/>
      <c r="I27" s="102"/>
      <c r="J27" s="102"/>
      <c r="K27" s="2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</row>
    <row r="28" spans="1:25" ht="13.5" customHeight="1">
      <c r="A28" s="219"/>
      <c r="B28" s="220"/>
      <c r="C28" s="256" t="s">
        <v>242</v>
      </c>
      <c r="D28" s="257">
        <v>1</v>
      </c>
      <c r="E28" s="106" t="s">
        <v>232</v>
      </c>
      <c r="F28" s="257">
        <v>0</v>
      </c>
      <c r="G28" s="102">
        <f t="shared" si="2"/>
        <v>0</v>
      </c>
      <c r="H28" s="102"/>
      <c r="I28" s="102"/>
      <c r="J28" s="102"/>
      <c r="K28" s="2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</row>
    <row r="29" spans="1:25" ht="13.5" customHeight="1">
      <c r="A29" s="219"/>
      <c r="B29" s="220"/>
      <c r="C29" s="256" t="s">
        <v>144</v>
      </c>
      <c r="D29" s="257">
        <v>1</v>
      </c>
      <c r="E29" s="106" t="s">
        <v>232</v>
      </c>
      <c r="F29" s="257">
        <v>0</v>
      </c>
      <c r="G29" s="102">
        <f t="shared" si="2"/>
        <v>0</v>
      </c>
      <c r="H29" s="102"/>
      <c r="I29" s="102"/>
      <c r="J29" s="102"/>
      <c r="K29" s="2"/>
      <c r="L29" s="255"/>
      <c r="M29" s="255"/>
      <c r="N29" s="255"/>
      <c r="O29" s="255"/>
      <c r="P29" s="255"/>
      <c r="Q29" s="255"/>
      <c r="R29" s="255"/>
      <c r="S29" s="255"/>
      <c r="T29" s="255"/>
      <c r="U29" s="255"/>
      <c r="V29" s="255"/>
      <c r="W29" s="255"/>
      <c r="X29" s="255"/>
      <c r="Y29" s="255"/>
    </row>
    <row r="30" spans="1:25" ht="13.5" customHeight="1">
      <c r="A30" s="219"/>
      <c r="B30" s="220"/>
      <c r="C30" s="107" t="s">
        <v>44</v>
      </c>
      <c r="D30" s="108"/>
      <c r="E30" s="109"/>
      <c r="F30" s="109"/>
      <c r="G30" s="109">
        <f>SUM(G22:G29)</f>
        <v>35000000</v>
      </c>
      <c r="H30" s="102"/>
      <c r="I30" s="102"/>
      <c r="J30" s="102"/>
      <c r="K30" s="2"/>
      <c r="L30" s="255"/>
      <c r="M30" s="255"/>
      <c r="N30" s="255"/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</row>
    <row r="31" spans="1:25" ht="13.5" customHeight="1">
      <c r="A31" s="227"/>
      <c r="B31" s="228"/>
      <c r="C31" s="102"/>
      <c r="D31" s="102"/>
      <c r="E31" s="102"/>
      <c r="F31" s="102"/>
      <c r="G31" s="102"/>
      <c r="H31" s="102"/>
      <c r="I31" s="102"/>
      <c r="J31" s="102"/>
      <c r="K31" s="102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</row>
    <row r="32" spans="1:25" ht="19.5" customHeight="1">
      <c r="A32" s="227"/>
      <c r="B32" s="228"/>
      <c r="C32" s="102"/>
      <c r="D32" s="102"/>
      <c r="E32" s="102"/>
      <c r="F32" s="102"/>
      <c r="G32" s="102"/>
      <c r="H32" s="102"/>
      <c r="I32" s="102"/>
      <c r="J32" s="102"/>
      <c r="K32" s="102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</row>
    <row r="33" spans="1:25" ht="13.5" customHeight="1">
      <c r="A33" s="219"/>
      <c r="B33" s="220"/>
      <c r="C33" s="103"/>
      <c r="D33" s="102"/>
      <c r="E33" s="102"/>
      <c r="F33" s="102"/>
      <c r="G33" s="102"/>
      <c r="H33" s="102"/>
      <c r="I33" s="102"/>
      <c r="J33" s="102"/>
      <c r="K33" s="2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</row>
    <row r="34" spans="1:25" ht="13.5" customHeight="1">
      <c r="A34" s="219"/>
      <c r="B34" s="220"/>
      <c r="C34" s="353" t="s">
        <v>243</v>
      </c>
      <c r="D34" s="346"/>
      <c r="E34" s="346"/>
      <c r="F34" s="346"/>
      <c r="G34" s="102"/>
      <c r="H34" s="102"/>
      <c r="I34" s="102"/>
      <c r="J34" s="102"/>
      <c r="K34" s="2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</row>
    <row r="35" spans="1:25" ht="13.5" customHeight="1">
      <c r="A35" s="227"/>
      <c r="B35" s="228"/>
      <c r="C35" s="346"/>
      <c r="D35" s="346"/>
      <c r="E35" s="346"/>
      <c r="F35" s="346"/>
      <c r="G35" s="102"/>
      <c r="H35" s="102"/>
      <c r="I35" s="102"/>
      <c r="J35" s="102"/>
      <c r="K35" s="2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</row>
    <row r="36" spans="1:25" ht="13.5" customHeight="1">
      <c r="A36" s="227"/>
      <c r="B36" s="228"/>
      <c r="C36" s="103"/>
      <c r="D36" s="102"/>
      <c r="E36" s="102"/>
      <c r="F36" s="102"/>
      <c r="G36" s="102"/>
      <c r="H36" s="102"/>
      <c r="I36" s="102"/>
      <c r="J36" s="102"/>
      <c r="K36" s="2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</row>
    <row r="37" spans="1:25" ht="13.5" customHeight="1">
      <c r="A37" s="227"/>
      <c r="B37" s="228"/>
      <c r="C37" s="103"/>
      <c r="D37" s="102"/>
      <c r="E37" s="102"/>
      <c r="F37" s="102"/>
      <c r="G37" s="102"/>
      <c r="H37" s="102"/>
      <c r="I37" s="102"/>
      <c r="J37" s="102"/>
      <c r="K37" s="2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</row>
    <row r="38" spans="1:25" ht="17.25" customHeight="1">
      <c r="A38" s="227"/>
      <c r="B38" s="228"/>
      <c r="C38" s="104" t="s">
        <v>244</v>
      </c>
      <c r="D38" s="110"/>
      <c r="E38" s="111"/>
      <c r="F38" s="112"/>
      <c r="G38" s="113"/>
      <c r="H38" s="113"/>
      <c r="I38" s="113"/>
      <c r="J38" s="113"/>
      <c r="K38" s="113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</row>
    <row r="39" spans="1:25" ht="13.5" customHeight="1">
      <c r="A39" s="227"/>
      <c r="B39" s="228"/>
      <c r="C39" s="103"/>
      <c r="D39" s="102"/>
      <c r="E39" s="102"/>
      <c r="F39" s="102"/>
      <c r="G39" s="102"/>
      <c r="H39" s="102"/>
      <c r="I39" s="102"/>
      <c r="J39" s="102"/>
      <c r="K39" s="102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</row>
    <row r="40" spans="1:25" ht="17.25" customHeight="1">
      <c r="A40" s="227"/>
      <c r="B40" s="228"/>
      <c r="C40" s="114" t="s">
        <v>245</v>
      </c>
      <c r="D40" s="92" t="s">
        <v>246</v>
      </c>
      <c r="E40" s="115" t="s">
        <v>247</v>
      </c>
      <c r="F40" s="116" t="s">
        <v>248</v>
      </c>
      <c r="G40" s="117">
        <f>Hypotheses!G5</f>
        <v>2025</v>
      </c>
      <c r="H40" s="117">
        <f>Hypotheses!H5</f>
        <v>2026</v>
      </c>
      <c r="I40" s="117">
        <f>Hypotheses!I5</f>
        <v>2027</v>
      </c>
      <c r="J40" s="117">
        <f>Hypotheses!J5</f>
        <v>2028</v>
      </c>
      <c r="K40" s="117">
        <f>Hypotheses!K5</f>
        <v>2029</v>
      </c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</row>
    <row r="41" spans="1:25" ht="13.5" customHeight="1">
      <c r="A41" s="227"/>
      <c r="B41" s="228"/>
      <c r="C41" s="103"/>
      <c r="D41" s="102"/>
      <c r="E41" s="118"/>
      <c r="F41" s="106"/>
      <c r="G41" s="106"/>
      <c r="H41" s="106"/>
      <c r="I41" s="106"/>
      <c r="J41" s="106"/>
      <c r="K41" s="106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</row>
    <row r="42" spans="1:25" ht="13.5" customHeight="1">
      <c r="A42" s="227"/>
      <c r="B42" s="228"/>
      <c r="C42" s="103" t="s">
        <v>137</v>
      </c>
      <c r="D42" s="259">
        <f t="shared" ref="D42:D43" si="3">+G25</f>
        <v>0</v>
      </c>
      <c r="E42" s="260"/>
      <c r="F42" s="259"/>
      <c r="G42" s="259"/>
      <c r="H42" s="259"/>
      <c r="I42" s="259"/>
      <c r="J42" s="259"/>
      <c r="K42" s="259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</row>
    <row r="43" spans="1:25" ht="13.5" customHeight="1">
      <c r="A43" s="227"/>
      <c r="B43" s="228"/>
      <c r="C43" s="103" t="s">
        <v>139</v>
      </c>
      <c r="D43" s="259">
        <f t="shared" si="3"/>
        <v>30000000</v>
      </c>
      <c r="E43" s="261">
        <f>1/Amort_MMB</f>
        <v>0.1</v>
      </c>
      <c r="F43" s="259">
        <f t="shared" ref="F43:K43" si="4">$D43*$E43</f>
        <v>3000000</v>
      </c>
      <c r="G43" s="259">
        <f t="shared" si="4"/>
        <v>3000000</v>
      </c>
      <c r="H43" s="259">
        <f t="shared" si="4"/>
        <v>3000000</v>
      </c>
      <c r="I43" s="259">
        <f t="shared" si="4"/>
        <v>3000000</v>
      </c>
      <c r="J43" s="259">
        <f t="shared" si="4"/>
        <v>3000000</v>
      </c>
      <c r="K43" s="259">
        <f t="shared" si="4"/>
        <v>3000000</v>
      </c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</row>
    <row r="44" spans="1:25" ht="13.5" customHeight="1">
      <c r="A44" s="227"/>
      <c r="B44" s="228"/>
      <c r="C44" s="103" t="s">
        <v>140</v>
      </c>
      <c r="D44" s="259">
        <f>G12</f>
        <v>2300000</v>
      </c>
      <c r="E44" s="261">
        <f>1/Amort_Equipement</f>
        <v>0.1</v>
      </c>
      <c r="F44" s="259">
        <f t="shared" ref="F44:K44" si="5">$D44*$E44</f>
        <v>230000</v>
      </c>
      <c r="G44" s="259">
        <f t="shared" si="5"/>
        <v>230000</v>
      </c>
      <c r="H44" s="259">
        <f t="shared" si="5"/>
        <v>230000</v>
      </c>
      <c r="I44" s="259">
        <f t="shared" si="5"/>
        <v>230000</v>
      </c>
      <c r="J44" s="259">
        <f t="shared" si="5"/>
        <v>230000</v>
      </c>
      <c r="K44" s="259">
        <f t="shared" si="5"/>
        <v>230000</v>
      </c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</row>
    <row r="45" spans="1:25" ht="13.5" customHeight="1">
      <c r="A45" s="227"/>
      <c r="B45" s="228"/>
      <c r="C45" s="103" t="s">
        <v>141</v>
      </c>
      <c r="D45" s="259">
        <f>G21</f>
        <v>0</v>
      </c>
      <c r="E45" s="261">
        <f>1/Amort_Vehicule</f>
        <v>0.1</v>
      </c>
      <c r="F45" s="259">
        <f t="shared" ref="F45:K45" si="6">$D45*$E45</f>
        <v>0</v>
      </c>
      <c r="G45" s="259">
        <f t="shared" si="6"/>
        <v>0</v>
      </c>
      <c r="H45" s="259">
        <f t="shared" si="6"/>
        <v>0</v>
      </c>
      <c r="I45" s="259">
        <f t="shared" si="6"/>
        <v>0</v>
      </c>
      <c r="J45" s="259">
        <f t="shared" si="6"/>
        <v>0</v>
      </c>
      <c r="K45" s="259">
        <f t="shared" si="6"/>
        <v>0</v>
      </c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</row>
    <row r="46" spans="1:25" ht="13.5" customHeight="1">
      <c r="A46" s="227"/>
      <c r="B46" s="228"/>
      <c r="C46" s="103" t="s">
        <v>142</v>
      </c>
      <c r="D46" s="259">
        <f t="shared" ref="D46:D48" si="7">+G27</f>
        <v>5000000</v>
      </c>
      <c r="E46" s="261">
        <f>1/Amort_Installation</f>
        <v>0.2</v>
      </c>
      <c r="F46" s="259">
        <f t="shared" ref="F46:K46" si="8">$D46*$E46</f>
        <v>1000000</v>
      </c>
      <c r="G46" s="259">
        <f t="shared" si="8"/>
        <v>1000000</v>
      </c>
      <c r="H46" s="259">
        <f t="shared" si="8"/>
        <v>1000000</v>
      </c>
      <c r="I46" s="259">
        <f t="shared" si="8"/>
        <v>1000000</v>
      </c>
      <c r="J46" s="259">
        <f t="shared" si="8"/>
        <v>1000000</v>
      </c>
      <c r="K46" s="259">
        <f t="shared" si="8"/>
        <v>1000000</v>
      </c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</row>
    <row r="47" spans="1:25" ht="13.5" customHeight="1">
      <c r="A47" s="227"/>
      <c r="B47" s="228"/>
      <c r="C47" s="103" t="s">
        <v>249</v>
      </c>
      <c r="D47" s="259">
        <f t="shared" si="7"/>
        <v>0</v>
      </c>
      <c r="E47" s="261">
        <f>1/Hypotheses!F38</f>
        <v>0.2</v>
      </c>
      <c r="F47" s="259">
        <f t="shared" ref="F47:K47" si="9">$D47*$E47</f>
        <v>0</v>
      </c>
      <c r="G47" s="259">
        <f t="shared" si="9"/>
        <v>0</v>
      </c>
      <c r="H47" s="259">
        <f t="shared" si="9"/>
        <v>0</v>
      </c>
      <c r="I47" s="259">
        <f t="shared" si="9"/>
        <v>0</v>
      </c>
      <c r="J47" s="259">
        <f t="shared" si="9"/>
        <v>0</v>
      </c>
      <c r="K47" s="259">
        <f t="shared" si="9"/>
        <v>0</v>
      </c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</row>
    <row r="48" spans="1:25" ht="13.5" customHeight="1">
      <c r="A48" s="227"/>
      <c r="B48" s="228"/>
      <c r="C48" s="103" t="s">
        <v>144</v>
      </c>
      <c r="D48" s="259">
        <f t="shared" si="7"/>
        <v>0</v>
      </c>
      <c r="E48" s="261">
        <f>1/Hypotheses!F39</f>
        <v>0.2</v>
      </c>
      <c r="F48" s="259">
        <f t="shared" ref="F48:K48" si="10">$D48*$E48</f>
        <v>0</v>
      </c>
      <c r="G48" s="259">
        <f t="shared" si="10"/>
        <v>0</v>
      </c>
      <c r="H48" s="259">
        <f t="shared" si="10"/>
        <v>0</v>
      </c>
      <c r="I48" s="259">
        <f t="shared" si="10"/>
        <v>0</v>
      </c>
      <c r="J48" s="259">
        <f t="shared" si="10"/>
        <v>0</v>
      </c>
      <c r="K48" s="259">
        <f t="shared" si="10"/>
        <v>0</v>
      </c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</row>
    <row r="49" spans="1:25" ht="13.5" customHeight="1">
      <c r="A49" s="227"/>
      <c r="B49" s="228"/>
      <c r="C49" s="107" t="s">
        <v>243</v>
      </c>
      <c r="D49" s="108"/>
      <c r="E49" s="109"/>
      <c r="F49" s="109"/>
      <c r="G49" s="109">
        <f t="shared" ref="G49:K49" si="11">SUM(G42:G48)</f>
        <v>4230000</v>
      </c>
      <c r="H49" s="109">
        <f t="shared" si="11"/>
        <v>4230000</v>
      </c>
      <c r="I49" s="109">
        <f t="shared" si="11"/>
        <v>4230000</v>
      </c>
      <c r="J49" s="109">
        <f t="shared" si="11"/>
        <v>4230000</v>
      </c>
      <c r="K49" s="109">
        <f t="shared" si="11"/>
        <v>4230000</v>
      </c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</row>
    <row r="50" spans="1:25" ht="13.5" customHeight="1">
      <c r="A50" s="227"/>
      <c r="B50" s="228"/>
      <c r="C50" s="103"/>
      <c r="D50" s="102"/>
      <c r="E50" s="102"/>
      <c r="F50" s="102"/>
      <c r="G50" s="102"/>
      <c r="H50" s="102"/>
      <c r="I50" s="102"/>
      <c r="J50" s="102"/>
      <c r="K50" s="102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</row>
    <row r="52" spans="1:25" ht="13.5" customHeight="1">
      <c r="A52" s="227"/>
      <c r="B52" s="228"/>
      <c r="C52" s="103"/>
      <c r="D52" s="102"/>
      <c r="E52" s="102"/>
      <c r="F52" s="102"/>
      <c r="G52" s="102"/>
      <c r="H52" s="102"/>
      <c r="I52" s="102"/>
      <c r="J52" s="102"/>
      <c r="K52" s="102"/>
      <c r="L52" s="262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</row>
    <row r="53" spans="1:25" ht="13.5" customHeight="1">
      <c r="A53" s="227"/>
      <c r="B53" s="228"/>
      <c r="C53" s="103"/>
      <c r="D53" s="102"/>
      <c r="E53" s="102"/>
      <c r="F53" s="102"/>
      <c r="G53" s="102"/>
      <c r="H53" s="102"/>
      <c r="I53" s="102"/>
      <c r="J53" s="102"/>
      <c r="K53" s="102"/>
      <c r="L53" s="262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</row>
    <row r="54" spans="1:25" ht="13.5" customHeight="1">
      <c r="A54" s="227"/>
      <c r="B54" s="228"/>
      <c r="C54" s="103"/>
      <c r="D54" s="102"/>
      <c r="E54" s="102"/>
      <c r="F54" s="102"/>
      <c r="G54" s="102"/>
      <c r="H54" s="102"/>
      <c r="I54" s="102"/>
      <c r="J54" s="102"/>
      <c r="K54" s="102"/>
      <c r="L54" s="262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</row>
    <row r="55" spans="1:25" ht="13.5" customHeight="1">
      <c r="A55" s="227"/>
      <c r="B55" s="228"/>
      <c r="C55" s="103"/>
      <c r="D55" s="102"/>
      <c r="E55" s="102"/>
      <c r="F55" s="102"/>
      <c r="G55" s="102"/>
      <c r="H55" s="102"/>
      <c r="I55" s="102"/>
      <c r="J55" s="102"/>
      <c r="K55" s="102"/>
      <c r="L55" s="262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</row>
    <row r="56" spans="1:25" ht="17.25" customHeight="1">
      <c r="A56" s="227"/>
      <c r="B56" s="228"/>
      <c r="C56" s="103"/>
      <c r="D56" s="102"/>
      <c r="E56" s="102"/>
      <c r="F56" s="102"/>
      <c r="G56" s="102"/>
      <c r="H56" s="102"/>
      <c r="I56" s="102"/>
      <c r="J56" s="102"/>
      <c r="K56" s="102"/>
      <c r="L56" s="262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</row>
    <row r="57" spans="1:25" ht="13.5" customHeight="1">
      <c r="A57" s="227"/>
      <c r="B57" s="228"/>
      <c r="C57" s="103"/>
      <c r="D57" s="102"/>
      <c r="E57" s="102"/>
      <c r="F57" s="102"/>
      <c r="G57" s="102"/>
      <c r="H57" s="102"/>
      <c r="I57" s="102"/>
      <c r="J57" s="102"/>
      <c r="K57" s="102"/>
      <c r="L57" s="262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</row>
    <row r="58" spans="1:25" ht="13.5" customHeight="1">
      <c r="A58" s="227"/>
      <c r="B58" s="228"/>
      <c r="C58" s="103"/>
      <c r="D58" s="102"/>
      <c r="E58" s="102"/>
      <c r="F58" s="102"/>
      <c r="G58" s="102"/>
      <c r="H58" s="102"/>
      <c r="I58" s="102"/>
      <c r="J58" s="102"/>
      <c r="K58" s="102"/>
      <c r="L58" s="262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</row>
    <row r="59" spans="1:25" ht="17.25" customHeight="1">
      <c r="A59" s="227"/>
      <c r="B59" s="228"/>
      <c r="C59" s="103"/>
      <c r="D59" s="102"/>
      <c r="E59" s="102"/>
      <c r="F59" s="102"/>
      <c r="G59" s="102"/>
      <c r="H59" s="102"/>
      <c r="I59" s="102"/>
      <c r="J59" s="102"/>
      <c r="K59" s="102"/>
      <c r="L59" s="262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</row>
    <row r="60" spans="1:25" ht="13.5" customHeight="1">
      <c r="A60" s="227"/>
      <c r="B60" s="228"/>
      <c r="C60" s="103"/>
      <c r="D60" s="102"/>
      <c r="E60" s="102"/>
      <c r="F60" s="102"/>
      <c r="G60" s="102"/>
      <c r="H60" s="102"/>
      <c r="I60" s="102"/>
      <c r="J60" s="102"/>
      <c r="K60" s="102"/>
      <c r="L60" s="262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</row>
    <row r="61" spans="1:25" ht="13.5" customHeight="1">
      <c r="A61" s="227"/>
      <c r="B61" s="228"/>
      <c r="C61" s="103"/>
      <c r="D61" s="102"/>
      <c r="E61" s="102"/>
      <c r="F61" s="102"/>
      <c r="G61" s="102"/>
      <c r="H61" s="102"/>
      <c r="I61" s="102"/>
      <c r="J61" s="102"/>
      <c r="K61" s="102"/>
      <c r="L61" s="262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</row>
    <row r="62" spans="1:25" ht="13.5" customHeight="1">
      <c r="A62" s="227"/>
      <c r="B62" s="228"/>
      <c r="C62" s="103"/>
      <c r="D62" s="102"/>
      <c r="E62" s="102"/>
      <c r="F62" s="102"/>
      <c r="G62" s="102"/>
      <c r="H62" s="102"/>
      <c r="I62" s="102"/>
      <c r="J62" s="102"/>
      <c r="K62" s="102"/>
      <c r="L62" s="262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</row>
    <row r="63" spans="1:25" ht="13.5" customHeight="1">
      <c r="A63" s="227"/>
      <c r="B63" s="228"/>
      <c r="C63" s="103"/>
      <c r="D63" s="102"/>
      <c r="E63" s="102"/>
      <c r="F63" s="102"/>
      <c r="G63" s="102"/>
      <c r="H63" s="102"/>
      <c r="I63" s="102"/>
      <c r="J63" s="102"/>
      <c r="K63" s="102"/>
      <c r="L63" s="262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</row>
    <row r="64" spans="1:25" ht="13.5" customHeight="1">
      <c r="A64" s="227"/>
      <c r="B64" s="228"/>
      <c r="C64" s="103"/>
      <c r="D64" s="102"/>
      <c r="E64" s="102"/>
      <c r="F64" s="102"/>
      <c r="G64" s="102"/>
      <c r="H64" s="102"/>
      <c r="I64" s="102"/>
      <c r="J64" s="102"/>
      <c r="K64" s="102"/>
      <c r="L64" s="262"/>
      <c r="M64" s="255"/>
      <c r="N64" s="255"/>
      <c r="O64" s="255"/>
      <c r="P64" s="255"/>
      <c r="Q64" s="255"/>
      <c r="R64" s="255"/>
      <c r="S64" s="255"/>
      <c r="T64" s="255"/>
      <c r="U64" s="255"/>
      <c r="V64" s="255"/>
      <c r="W64" s="255"/>
      <c r="X64" s="255"/>
      <c r="Y64" s="255"/>
    </row>
    <row r="65" spans="1:25" ht="16.5" customHeight="1">
      <c r="A65" s="227"/>
      <c r="B65" s="228"/>
      <c r="C65" s="103"/>
      <c r="D65" s="102"/>
      <c r="E65" s="102"/>
      <c r="F65" s="102"/>
      <c r="G65" s="102"/>
      <c r="H65" s="102"/>
      <c r="I65" s="102"/>
      <c r="J65" s="102"/>
      <c r="K65" s="102"/>
      <c r="L65" s="262"/>
      <c r="M65" s="255"/>
      <c r="N65" s="255"/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</row>
    <row r="66" spans="1:25" ht="13.5" customHeight="1">
      <c r="A66" s="227"/>
      <c r="B66" s="228"/>
      <c r="C66" s="103"/>
      <c r="D66" s="102"/>
      <c r="E66" s="102"/>
      <c r="F66" s="102"/>
      <c r="G66" s="102"/>
      <c r="H66" s="102"/>
      <c r="I66" s="102"/>
      <c r="J66" s="102"/>
      <c r="K66" s="102"/>
      <c r="L66" s="262"/>
      <c r="M66" s="255"/>
      <c r="N66" s="255"/>
      <c r="O66" s="255"/>
      <c r="P66" s="255"/>
      <c r="Q66" s="255"/>
      <c r="R66" s="255"/>
      <c r="S66" s="255"/>
      <c r="T66" s="255"/>
      <c r="U66" s="255"/>
      <c r="V66" s="255"/>
      <c r="W66" s="255"/>
      <c r="X66" s="255"/>
      <c r="Y66" s="255"/>
    </row>
    <row r="67" spans="1:25" ht="13.5" customHeight="1">
      <c r="A67" s="227"/>
      <c r="B67" s="228"/>
      <c r="C67" s="103"/>
      <c r="D67" s="102"/>
      <c r="E67" s="102"/>
      <c r="F67" s="102"/>
      <c r="G67" s="102"/>
      <c r="H67" s="102"/>
      <c r="I67" s="102"/>
      <c r="J67" s="102"/>
      <c r="K67" s="102"/>
      <c r="L67" s="262"/>
      <c r="M67" s="262"/>
      <c r="N67" s="262"/>
      <c r="O67" s="262"/>
      <c r="P67" s="262"/>
      <c r="Q67" s="255"/>
      <c r="R67" s="255"/>
      <c r="S67" s="255"/>
      <c r="T67" s="255"/>
      <c r="U67" s="255"/>
      <c r="V67" s="255"/>
      <c r="W67" s="255"/>
      <c r="X67" s="255"/>
      <c r="Y67" s="255"/>
    </row>
    <row r="68" spans="1:25" ht="13.5" customHeight="1">
      <c r="A68" s="227"/>
      <c r="B68" s="228"/>
      <c r="C68" s="103"/>
      <c r="D68" s="102"/>
      <c r="E68" s="102"/>
      <c r="F68" s="102"/>
      <c r="G68" s="102"/>
      <c r="H68" s="102"/>
      <c r="I68" s="102"/>
      <c r="J68" s="102"/>
      <c r="K68" s="102"/>
      <c r="L68" s="262"/>
      <c r="M68" s="262"/>
      <c r="N68" s="262"/>
      <c r="O68" s="262"/>
      <c r="P68" s="262"/>
      <c r="Q68" s="255"/>
      <c r="R68" s="255"/>
      <c r="S68" s="255"/>
      <c r="T68" s="255"/>
      <c r="U68" s="255"/>
      <c r="V68" s="255"/>
      <c r="W68" s="255"/>
      <c r="X68" s="255"/>
      <c r="Y68" s="255"/>
    </row>
    <row r="69" spans="1:25" ht="17.25" customHeight="1">
      <c r="A69" s="227"/>
      <c r="B69" s="228"/>
      <c r="C69" s="103"/>
      <c r="D69" s="102"/>
      <c r="E69" s="102"/>
      <c r="F69" s="102"/>
      <c r="G69" s="102"/>
      <c r="H69" s="102"/>
      <c r="I69" s="102"/>
      <c r="J69" s="102"/>
      <c r="K69" s="102"/>
      <c r="L69" s="262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</row>
    <row r="70" spans="1:25" ht="13.5" customHeight="1">
      <c r="A70" s="227"/>
      <c r="B70" s="228"/>
      <c r="C70" s="103"/>
      <c r="D70" s="102"/>
      <c r="E70" s="102"/>
      <c r="F70" s="102"/>
      <c r="G70" s="102"/>
      <c r="H70" s="102"/>
      <c r="I70" s="102"/>
      <c r="J70" s="102"/>
      <c r="K70" s="102"/>
      <c r="L70" s="262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55"/>
    </row>
    <row r="71" spans="1:25" ht="13.5" customHeight="1">
      <c r="A71" s="227"/>
      <c r="B71" s="228"/>
      <c r="C71" s="103"/>
      <c r="D71" s="102"/>
      <c r="E71" s="102"/>
      <c r="F71" s="102"/>
      <c r="G71" s="102"/>
      <c r="H71" s="102"/>
      <c r="I71" s="102"/>
      <c r="J71" s="102"/>
      <c r="K71" s="102"/>
      <c r="L71" s="262"/>
      <c r="M71" s="255"/>
      <c r="N71" s="255"/>
      <c r="O71" s="255"/>
      <c r="P71" s="255"/>
      <c r="Q71" s="255"/>
      <c r="R71" s="255"/>
      <c r="S71" s="255"/>
      <c r="T71" s="255"/>
      <c r="U71" s="255"/>
      <c r="V71" s="255"/>
      <c r="W71" s="255"/>
      <c r="X71" s="255"/>
      <c r="Y71" s="255"/>
    </row>
    <row r="72" spans="1:25" ht="17.25" customHeight="1">
      <c r="A72" s="227"/>
      <c r="B72" s="228"/>
      <c r="C72" s="103"/>
      <c r="D72" s="102"/>
      <c r="E72" s="102"/>
      <c r="F72" s="102"/>
      <c r="G72" s="102"/>
      <c r="H72" s="102"/>
      <c r="I72" s="102"/>
      <c r="J72" s="102"/>
      <c r="K72" s="102"/>
      <c r="L72" s="262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</row>
    <row r="73" spans="1:25" ht="13.5" customHeight="1">
      <c r="A73" s="227"/>
      <c r="B73" s="228"/>
      <c r="C73" s="103"/>
      <c r="D73" s="102"/>
      <c r="E73" s="102"/>
      <c r="F73" s="102"/>
      <c r="G73" s="102"/>
      <c r="H73" s="102"/>
      <c r="I73" s="102"/>
      <c r="J73" s="102"/>
      <c r="K73" s="102"/>
      <c r="L73" s="262"/>
      <c r="M73" s="255"/>
      <c r="N73" s="255"/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</row>
    <row r="74" spans="1:25" ht="13.5" customHeight="1">
      <c r="A74" s="227"/>
      <c r="B74" s="228"/>
      <c r="C74" s="103"/>
      <c r="D74" s="102"/>
      <c r="E74" s="102"/>
      <c r="F74" s="102"/>
      <c r="G74" s="102"/>
      <c r="H74" s="102"/>
      <c r="I74" s="102"/>
      <c r="J74" s="102"/>
      <c r="K74" s="102"/>
      <c r="L74" s="262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</row>
    <row r="75" spans="1:25" ht="13.5" customHeight="1">
      <c r="A75" s="227"/>
      <c r="B75" s="228"/>
      <c r="C75" s="103"/>
      <c r="D75" s="102"/>
      <c r="E75" s="102"/>
      <c r="F75" s="102"/>
      <c r="G75" s="102"/>
      <c r="H75" s="102"/>
      <c r="I75" s="102"/>
      <c r="J75" s="102"/>
      <c r="K75" s="102"/>
      <c r="L75" s="262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</row>
    <row r="76" spans="1:25" ht="13.5" customHeight="1">
      <c r="A76" s="227"/>
      <c r="B76" s="228"/>
      <c r="C76" s="103"/>
      <c r="D76" s="102"/>
      <c r="E76" s="102"/>
      <c r="F76" s="102"/>
      <c r="G76" s="102"/>
      <c r="H76" s="102"/>
      <c r="I76" s="102"/>
      <c r="J76" s="102"/>
      <c r="K76" s="102"/>
      <c r="L76" s="262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</row>
    <row r="77" spans="1:25" ht="13.5" customHeight="1">
      <c r="A77" s="227"/>
      <c r="B77" s="228"/>
      <c r="C77" s="103"/>
      <c r="D77" s="102"/>
      <c r="E77" s="102"/>
      <c r="F77" s="102"/>
      <c r="G77" s="102"/>
      <c r="H77" s="102"/>
      <c r="I77" s="102"/>
      <c r="J77" s="102"/>
      <c r="K77" s="102"/>
      <c r="L77" s="262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</row>
    <row r="78" spans="1:25" ht="16.5" customHeight="1">
      <c r="A78" s="227"/>
      <c r="B78" s="228"/>
      <c r="C78" s="103"/>
      <c r="D78" s="102"/>
      <c r="E78" s="102"/>
      <c r="F78" s="102"/>
      <c r="G78" s="102"/>
      <c r="H78" s="102"/>
      <c r="I78" s="102"/>
      <c r="J78" s="102"/>
      <c r="K78" s="102"/>
      <c r="L78" s="262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</row>
    <row r="79" spans="1:25" ht="13.5" customHeight="1">
      <c r="A79" s="227"/>
      <c r="B79" s="228"/>
      <c r="C79" s="103"/>
      <c r="D79" s="102"/>
      <c r="E79" s="102"/>
      <c r="F79" s="102"/>
      <c r="G79" s="102"/>
      <c r="H79" s="102"/>
      <c r="I79" s="102"/>
      <c r="J79" s="102"/>
      <c r="K79" s="102"/>
      <c r="L79" s="262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</row>
    <row r="80" spans="1:25" ht="13.5" customHeight="1">
      <c r="A80" s="227"/>
      <c r="B80" s="228"/>
      <c r="C80" s="103"/>
      <c r="D80" s="102"/>
      <c r="E80" s="102"/>
      <c r="F80" s="102"/>
      <c r="G80" s="102"/>
      <c r="H80" s="102"/>
      <c r="I80" s="102"/>
      <c r="J80" s="102"/>
      <c r="K80" s="102"/>
      <c r="L80" s="262"/>
      <c r="M80" s="262"/>
      <c r="N80" s="262"/>
      <c r="O80" s="262"/>
      <c r="P80" s="262"/>
      <c r="Q80" s="255"/>
      <c r="R80" s="255"/>
      <c r="S80" s="255"/>
      <c r="T80" s="255"/>
      <c r="U80" s="255"/>
      <c r="V80" s="255"/>
      <c r="W80" s="255"/>
      <c r="X80" s="255"/>
      <c r="Y80" s="255"/>
    </row>
    <row r="81" spans="1:25" ht="13.5" customHeight="1">
      <c r="A81" s="227"/>
      <c r="B81" s="228"/>
      <c r="C81" s="103"/>
      <c r="D81" s="102"/>
      <c r="E81" s="102"/>
      <c r="F81" s="102"/>
      <c r="G81" s="102"/>
      <c r="H81" s="102"/>
      <c r="I81" s="102"/>
      <c r="J81" s="102"/>
      <c r="K81" s="102"/>
      <c r="L81" s="262"/>
      <c r="M81" s="262"/>
      <c r="N81" s="262"/>
      <c r="O81" s="262"/>
      <c r="P81" s="262"/>
      <c r="Q81" s="255"/>
      <c r="R81" s="255"/>
      <c r="S81" s="255"/>
      <c r="T81" s="255"/>
      <c r="U81" s="255"/>
      <c r="V81" s="255"/>
      <c r="W81" s="255"/>
      <c r="X81" s="255"/>
      <c r="Y81" s="255"/>
    </row>
    <row r="82" spans="1:25" ht="13.5" customHeight="1">
      <c r="A82" s="227"/>
      <c r="B82" s="228"/>
      <c r="C82" s="103"/>
      <c r="D82" s="102"/>
      <c r="E82" s="102"/>
      <c r="F82" s="102"/>
      <c r="G82" s="102"/>
      <c r="H82" s="102"/>
      <c r="I82" s="102"/>
      <c r="J82" s="102"/>
      <c r="K82" s="102"/>
      <c r="L82" s="262"/>
      <c r="M82" s="262"/>
      <c r="N82" s="262"/>
      <c r="O82" s="262"/>
      <c r="P82" s="262"/>
      <c r="Q82" s="255"/>
      <c r="R82" s="255"/>
      <c r="S82" s="255"/>
      <c r="T82" s="255"/>
      <c r="U82" s="255"/>
      <c r="V82" s="255"/>
      <c r="W82" s="255"/>
      <c r="X82" s="255"/>
      <c r="Y82" s="255"/>
    </row>
    <row r="83" spans="1:25" ht="13.5" customHeight="1">
      <c r="A83" s="227"/>
      <c r="B83" s="228"/>
      <c r="C83" s="103"/>
      <c r="D83" s="102"/>
      <c r="E83" s="102"/>
      <c r="F83" s="119"/>
      <c r="G83" s="102"/>
      <c r="H83" s="102"/>
      <c r="I83" s="102"/>
      <c r="J83" s="102"/>
      <c r="K83" s="2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</row>
    <row r="84" spans="1:25" ht="13.5" customHeight="1">
      <c r="A84" s="227"/>
      <c r="B84" s="228"/>
      <c r="C84" s="103"/>
      <c r="D84" s="102"/>
      <c r="E84" s="102"/>
      <c r="F84" s="102"/>
      <c r="G84" s="102"/>
      <c r="H84" s="120"/>
      <c r="I84" s="102"/>
      <c r="J84" s="102"/>
      <c r="K84" s="2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</row>
    <row r="85" spans="1:25" ht="13.5" customHeight="1">
      <c r="A85" s="227"/>
      <c r="B85" s="228"/>
      <c r="C85" s="103"/>
      <c r="D85" s="102"/>
      <c r="E85" s="102"/>
      <c r="F85" s="102"/>
      <c r="G85" s="102"/>
      <c r="H85" s="102"/>
      <c r="I85" s="102"/>
      <c r="J85" s="102"/>
      <c r="K85" s="2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</row>
    <row r="86" spans="1:25" ht="13.5" customHeight="1">
      <c r="A86" s="227"/>
      <c r="B86" s="228"/>
      <c r="C86" s="103"/>
      <c r="D86" s="102"/>
      <c r="E86" s="102"/>
      <c r="F86" s="102"/>
      <c r="G86" s="102"/>
      <c r="H86" s="102"/>
      <c r="I86" s="102"/>
      <c r="J86" s="102"/>
      <c r="K86" s="2"/>
      <c r="L86" s="255"/>
      <c r="M86" s="255"/>
      <c r="N86" s="255"/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</row>
    <row r="87" spans="1:25" ht="13.5" customHeight="1">
      <c r="A87" s="227"/>
      <c r="B87" s="228"/>
      <c r="C87" s="103"/>
      <c r="D87" s="102"/>
      <c r="E87" s="102"/>
      <c r="F87" s="102"/>
      <c r="G87" s="102"/>
      <c r="H87" s="102"/>
      <c r="I87" s="102"/>
      <c r="J87" s="102"/>
      <c r="K87" s="2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</row>
    <row r="88" spans="1:25" ht="13.5" customHeight="1">
      <c r="A88" s="227"/>
      <c r="B88" s="228"/>
      <c r="C88" s="103"/>
      <c r="D88" s="102"/>
      <c r="E88" s="102"/>
      <c r="F88" s="102"/>
      <c r="G88" s="102"/>
      <c r="H88" s="102"/>
      <c r="I88" s="102"/>
      <c r="J88" s="102"/>
      <c r="K88" s="2"/>
      <c r="L88" s="255"/>
      <c r="M88" s="255"/>
      <c r="N88" s="255"/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</row>
    <row r="89" spans="1:25" ht="13.5" customHeight="1">
      <c r="A89" s="227"/>
      <c r="B89" s="228"/>
      <c r="C89" s="103"/>
      <c r="D89" s="102"/>
      <c r="E89" s="102"/>
      <c r="F89" s="102"/>
      <c r="G89" s="102"/>
      <c r="H89" s="102"/>
      <c r="I89" s="102"/>
      <c r="J89" s="102"/>
      <c r="K89" s="2"/>
      <c r="L89" s="255"/>
      <c r="M89" s="255"/>
      <c r="N89" s="255"/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</row>
    <row r="90" spans="1:25" ht="13.5" customHeight="1">
      <c r="A90" s="227"/>
      <c r="B90" s="228"/>
      <c r="C90" s="103"/>
      <c r="D90" s="102"/>
      <c r="E90" s="102"/>
      <c r="F90" s="102"/>
      <c r="G90" s="102"/>
      <c r="H90" s="102"/>
      <c r="I90" s="102"/>
      <c r="J90" s="102"/>
      <c r="K90" s="2"/>
      <c r="L90" s="255"/>
      <c r="M90" s="255"/>
      <c r="N90" s="255"/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</row>
    <row r="91" spans="1:25" ht="13.5" customHeight="1">
      <c r="A91" s="227"/>
      <c r="B91" s="228"/>
      <c r="C91" s="103"/>
      <c r="D91" s="102"/>
      <c r="E91" s="102"/>
      <c r="F91" s="102"/>
      <c r="G91" s="102"/>
      <c r="H91" s="102"/>
      <c r="I91" s="102"/>
      <c r="J91" s="102"/>
      <c r="K91" s="2"/>
      <c r="L91" s="255"/>
      <c r="M91" s="255"/>
      <c r="N91" s="255"/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</row>
    <row r="92" spans="1:25" ht="13.5" customHeight="1">
      <c r="A92" s="227"/>
      <c r="B92" s="228"/>
      <c r="C92" s="103"/>
      <c r="D92" s="102"/>
      <c r="E92" s="102"/>
      <c r="F92" s="102"/>
      <c r="G92" s="102"/>
      <c r="H92" s="102"/>
      <c r="I92" s="102"/>
      <c r="J92" s="102"/>
      <c r="K92" s="2"/>
      <c r="L92" s="255"/>
      <c r="M92" s="255"/>
      <c r="N92" s="255"/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</row>
    <row r="93" spans="1:25" ht="13.5" customHeight="1">
      <c r="A93" s="227"/>
      <c r="B93" s="228"/>
      <c r="C93" s="103"/>
      <c r="D93" s="102"/>
      <c r="E93" s="102"/>
      <c r="F93" s="102"/>
      <c r="G93" s="102"/>
      <c r="H93" s="102"/>
      <c r="I93" s="102"/>
      <c r="J93" s="102"/>
      <c r="K93" s="2"/>
      <c r="L93" s="255"/>
      <c r="M93" s="255"/>
      <c r="N93" s="255"/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</row>
    <row r="94" spans="1:25" ht="13.5" customHeight="1">
      <c r="A94" s="227"/>
      <c r="B94" s="228"/>
      <c r="C94" s="103"/>
      <c r="D94" s="102"/>
      <c r="E94" s="102"/>
      <c r="F94" s="102"/>
      <c r="G94" s="102"/>
      <c r="H94" s="102"/>
      <c r="I94" s="102"/>
      <c r="J94" s="102"/>
      <c r="K94" s="2"/>
      <c r="L94" s="255"/>
      <c r="M94" s="255"/>
      <c r="N94" s="255"/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</row>
    <row r="95" spans="1:25" ht="13.5" customHeight="1">
      <c r="A95" s="227"/>
      <c r="B95" s="228"/>
      <c r="C95" s="103"/>
      <c r="D95" s="102"/>
      <c r="E95" s="102"/>
      <c r="F95" s="102"/>
      <c r="G95" s="102"/>
      <c r="H95" s="102"/>
      <c r="I95" s="102"/>
      <c r="J95" s="102"/>
      <c r="K95" s="2"/>
      <c r="L95" s="255"/>
      <c r="M95" s="255"/>
      <c r="N95" s="255"/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</row>
    <row r="96" spans="1:25" ht="13.5" customHeight="1">
      <c r="A96" s="227"/>
      <c r="B96" s="228"/>
      <c r="C96" s="103"/>
      <c r="D96" s="102"/>
      <c r="E96" s="102"/>
      <c r="F96" s="102"/>
      <c r="G96" s="102"/>
      <c r="H96" s="102"/>
      <c r="I96" s="102"/>
      <c r="J96" s="102"/>
      <c r="K96" s="2"/>
      <c r="L96" s="255"/>
      <c r="M96" s="255"/>
      <c r="N96" s="255"/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</row>
    <row r="97" spans="1:25" ht="13.5" customHeight="1">
      <c r="A97" s="227"/>
      <c r="B97" s="228"/>
      <c r="C97" s="103"/>
      <c r="D97" s="102"/>
      <c r="E97" s="102"/>
      <c r="F97" s="102"/>
      <c r="G97" s="102"/>
      <c r="H97" s="102"/>
      <c r="I97" s="102"/>
      <c r="J97" s="102"/>
      <c r="K97" s="2"/>
      <c r="L97" s="255"/>
      <c r="M97" s="255"/>
      <c r="N97" s="255"/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</row>
    <row r="98" spans="1:25" ht="13.5" customHeight="1">
      <c r="A98" s="227"/>
      <c r="B98" s="228"/>
      <c r="C98" s="103"/>
      <c r="D98" s="102"/>
      <c r="E98" s="102"/>
      <c r="F98" s="102"/>
      <c r="G98" s="102"/>
      <c r="H98" s="102"/>
      <c r="I98" s="102"/>
      <c r="J98" s="102"/>
      <c r="K98" s="2"/>
      <c r="L98" s="255"/>
      <c r="M98" s="255"/>
      <c r="N98" s="255"/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</row>
    <row r="99" spans="1:25" ht="13.5" customHeight="1">
      <c r="A99" s="227"/>
      <c r="B99" s="228"/>
      <c r="C99" s="103"/>
      <c r="D99" s="102"/>
      <c r="E99" s="102"/>
      <c r="F99" s="102"/>
      <c r="G99" s="102"/>
      <c r="H99" s="102"/>
      <c r="I99" s="102"/>
      <c r="J99" s="102"/>
      <c r="K99" s="2"/>
      <c r="L99" s="255"/>
      <c r="M99" s="255"/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</row>
    <row r="100" spans="1:25" ht="13.5" customHeight="1">
      <c r="A100" s="227"/>
      <c r="B100" s="228"/>
      <c r="C100" s="103"/>
      <c r="D100" s="102"/>
      <c r="E100" s="102"/>
      <c r="F100" s="102"/>
      <c r="G100" s="102"/>
      <c r="H100" s="102"/>
      <c r="I100" s="102"/>
      <c r="J100" s="102"/>
      <c r="K100" s="2"/>
      <c r="L100" s="255"/>
      <c r="M100" s="255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</row>
    <row r="101" spans="1:25" ht="13.5" customHeight="1">
      <c r="A101" s="227"/>
      <c r="B101" s="228"/>
      <c r="C101" s="103"/>
      <c r="D101" s="102"/>
      <c r="E101" s="102"/>
      <c r="F101" s="102"/>
      <c r="G101" s="102"/>
      <c r="H101" s="102"/>
      <c r="I101" s="102"/>
      <c r="J101" s="102"/>
      <c r="K101" s="2"/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</row>
    <row r="102" spans="1:25" ht="13.5" customHeight="1">
      <c r="A102" s="227"/>
      <c r="B102" s="228"/>
      <c r="C102" s="103"/>
      <c r="D102" s="102"/>
      <c r="E102" s="102"/>
      <c r="F102" s="102"/>
      <c r="G102" s="102"/>
      <c r="H102" s="102"/>
      <c r="I102" s="102"/>
      <c r="J102" s="102"/>
      <c r="K102" s="2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</row>
    <row r="103" spans="1:25" ht="13.5" customHeight="1">
      <c r="A103" s="227"/>
      <c r="B103" s="228"/>
      <c r="C103" s="103"/>
      <c r="D103" s="102"/>
      <c r="E103" s="102"/>
      <c r="F103" s="102"/>
      <c r="G103" s="102"/>
      <c r="H103" s="102"/>
      <c r="I103" s="102"/>
      <c r="J103" s="102"/>
      <c r="K103" s="2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</row>
    <row r="104" spans="1:25" ht="13.5" customHeight="1">
      <c r="A104" s="227"/>
      <c r="B104" s="228"/>
      <c r="C104" s="103"/>
      <c r="D104" s="102"/>
      <c r="E104" s="102"/>
      <c r="F104" s="102"/>
      <c r="G104" s="102"/>
      <c r="H104" s="102"/>
      <c r="I104" s="102"/>
      <c r="J104" s="102"/>
      <c r="K104" s="2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</row>
    <row r="105" spans="1:25" ht="13.5" customHeight="1">
      <c r="A105" s="227"/>
      <c r="B105" s="228"/>
      <c r="C105" s="103"/>
      <c r="D105" s="102"/>
      <c r="E105" s="102"/>
      <c r="F105" s="102"/>
      <c r="G105" s="102"/>
      <c r="H105" s="102"/>
      <c r="I105" s="102"/>
      <c r="J105" s="102"/>
      <c r="K105" s="2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</row>
    <row r="106" spans="1:25" ht="13.5" customHeight="1">
      <c r="A106" s="227"/>
      <c r="B106" s="228"/>
      <c r="C106" s="103"/>
      <c r="D106" s="102"/>
      <c r="E106" s="102"/>
      <c r="F106" s="102"/>
      <c r="G106" s="102"/>
      <c r="H106" s="102"/>
      <c r="I106" s="102"/>
      <c r="J106" s="102"/>
      <c r="K106" s="2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</row>
    <row r="107" spans="1:25" ht="13.5" customHeight="1">
      <c r="A107" s="227"/>
      <c r="B107" s="228"/>
      <c r="C107" s="103"/>
      <c r="D107" s="102"/>
      <c r="E107" s="102"/>
      <c r="F107" s="102"/>
      <c r="G107" s="102"/>
      <c r="H107" s="102"/>
      <c r="I107" s="102"/>
      <c r="J107" s="102"/>
      <c r="K107" s="2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</row>
    <row r="108" spans="1:25" ht="13.5" customHeight="1">
      <c r="A108" s="227"/>
      <c r="B108" s="228"/>
      <c r="C108" s="103"/>
      <c r="D108" s="102"/>
      <c r="E108" s="102"/>
      <c r="F108" s="102"/>
      <c r="G108" s="102"/>
      <c r="H108" s="102"/>
      <c r="I108" s="102"/>
      <c r="J108" s="102"/>
      <c r="K108" s="2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</row>
    <row r="109" spans="1:25" ht="13.5" customHeight="1">
      <c r="A109" s="227"/>
      <c r="B109" s="228"/>
      <c r="C109" s="103"/>
      <c r="D109" s="102"/>
      <c r="E109" s="102"/>
      <c r="F109" s="102"/>
      <c r="G109" s="102"/>
      <c r="H109" s="102"/>
      <c r="I109" s="102"/>
      <c r="J109" s="102"/>
      <c r="K109" s="2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</row>
    <row r="110" spans="1:25" ht="13.5" customHeight="1">
      <c r="A110" s="227"/>
      <c r="B110" s="228"/>
      <c r="C110" s="103"/>
      <c r="D110" s="102"/>
      <c r="E110" s="102"/>
      <c r="F110" s="102"/>
      <c r="G110" s="102"/>
      <c r="H110" s="102"/>
      <c r="I110" s="102"/>
      <c r="J110" s="102"/>
      <c r="K110" s="2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</row>
    <row r="111" spans="1:25" ht="13.5" customHeight="1">
      <c r="A111" s="227"/>
      <c r="B111" s="228"/>
      <c r="C111" s="103"/>
      <c r="D111" s="102"/>
      <c r="E111" s="102"/>
      <c r="F111" s="102"/>
      <c r="G111" s="102"/>
      <c r="H111" s="102"/>
      <c r="I111" s="102"/>
      <c r="J111" s="102"/>
      <c r="K111" s="2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</row>
    <row r="112" spans="1:25" ht="13.5" customHeight="1">
      <c r="A112" s="227"/>
      <c r="B112" s="228"/>
      <c r="C112" s="103"/>
      <c r="D112" s="102"/>
      <c r="E112" s="102"/>
      <c r="F112" s="102"/>
      <c r="G112" s="102"/>
      <c r="H112" s="102"/>
      <c r="I112" s="102"/>
      <c r="J112" s="102"/>
      <c r="K112" s="2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</row>
    <row r="113" spans="1:25" ht="13.5" customHeight="1">
      <c r="A113" s="227"/>
      <c r="B113" s="228"/>
      <c r="C113" s="103"/>
      <c r="D113" s="102"/>
      <c r="E113" s="102"/>
      <c r="F113" s="102"/>
      <c r="G113" s="102"/>
      <c r="H113" s="102"/>
      <c r="I113" s="102"/>
      <c r="J113" s="102"/>
      <c r="K113" s="2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</row>
    <row r="114" spans="1:25" ht="13.5" customHeight="1">
      <c r="A114" s="1"/>
      <c r="B114" s="1"/>
      <c r="C114" s="103"/>
      <c r="D114" s="102"/>
      <c r="E114" s="102"/>
      <c r="F114" s="102"/>
      <c r="G114" s="102"/>
      <c r="H114" s="102"/>
      <c r="I114" s="102"/>
      <c r="J114" s="102"/>
      <c r="K114" s="2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</row>
    <row r="115" spans="1:25" ht="13.5" customHeight="1">
      <c r="A115" s="1"/>
      <c r="B115" s="1"/>
      <c r="C115" s="103"/>
      <c r="D115" s="102"/>
      <c r="E115" s="102"/>
      <c r="F115" s="102"/>
      <c r="G115" s="102"/>
      <c r="H115" s="102"/>
      <c r="I115" s="102"/>
      <c r="J115" s="102"/>
      <c r="K115" s="2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</row>
    <row r="116" spans="1:25" ht="13.5" customHeight="1">
      <c r="A116" s="1"/>
      <c r="B116" s="1"/>
      <c r="C116" s="103"/>
      <c r="D116" s="102"/>
      <c r="E116" s="102"/>
      <c r="F116" s="102"/>
      <c r="G116" s="102"/>
      <c r="H116" s="102"/>
      <c r="I116" s="102"/>
      <c r="J116" s="102"/>
      <c r="K116" s="2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</row>
    <row r="117" spans="1:25" ht="13.5" customHeight="1">
      <c r="A117" s="1"/>
      <c r="B117" s="1"/>
      <c r="C117" s="103"/>
      <c r="D117" s="102"/>
      <c r="E117" s="102"/>
      <c r="F117" s="102"/>
      <c r="G117" s="102"/>
      <c r="H117" s="102"/>
      <c r="I117" s="102"/>
      <c r="J117" s="102"/>
      <c r="K117" s="2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</row>
    <row r="118" spans="1:25" ht="13.5" customHeight="1">
      <c r="A118" s="1"/>
      <c r="B118" s="1"/>
      <c r="C118" s="103"/>
      <c r="D118" s="102"/>
      <c r="E118" s="102"/>
      <c r="F118" s="102"/>
      <c r="G118" s="102"/>
      <c r="H118" s="102"/>
      <c r="I118" s="102"/>
      <c r="J118" s="102"/>
      <c r="K118" s="2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</row>
    <row r="119" spans="1:25" ht="13.5" customHeight="1">
      <c r="A119" s="1"/>
      <c r="B119" s="1"/>
      <c r="C119" s="103"/>
      <c r="D119" s="102"/>
      <c r="E119" s="102"/>
      <c r="F119" s="102"/>
      <c r="G119" s="102"/>
      <c r="H119" s="102"/>
      <c r="I119" s="102"/>
      <c r="J119" s="102"/>
      <c r="K119" s="2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</row>
    <row r="120" spans="1:25" ht="13.5" customHeight="1">
      <c r="A120" s="1"/>
      <c r="B120" s="1"/>
      <c r="C120" s="103"/>
      <c r="D120" s="102"/>
      <c r="E120" s="102"/>
      <c r="F120" s="102"/>
      <c r="G120" s="102"/>
      <c r="H120" s="102"/>
      <c r="I120" s="102"/>
      <c r="J120" s="102"/>
      <c r="K120" s="2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</row>
    <row r="121" spans="1:25" ht="13.5" customHeight="1">
      <c r="A121" s="1"/>
      <c r="B121" s="1"/>
      <c r="C121" s="103"/>
      <c r="D121" s="102"/>
      <c r="E121" s="102"/>
      <c r="F121" s="102"/>
      <c r="G121" s="102"/>
      <c r="H121" s="102"/>
      <c r="I121" s="102"/>
      <c r="J121" s="102"/>
      <c r="K121" s="2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</row>
    <row r="122" spans="1:25" ht="13.5" customHeight="1">
      <c r="A122" s="1"/>
      <c r="B122" s="1"/>
      <c r="C122" s="103"/>
      <c r="D122" s="102"/>
      <c r="E122" s="102"/>
      <c r="F122" s="102"/>
      <c r="G122" s="102"/>
      <c r="H122" s="102"/>
      <c r="I122" s="102"/>
      <c r="J122" s="102"/>
      <c r="K122" s="2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</row>
    <row r="123" spans="1:25" ht="13.5" customHeight="1">
      <c r="A123" s="1"/>
      <c r="B123" s="1"/>
      <c r="C123" s="103"/>
      <c r="D123" s="102"/>
      <c r="E123" s="102"/>
      <c r="F123" s="102"/>
      <c r="G123" s="102"/>
      <c r="H123" s="102"/>
      <c r="I123" s="102"/>
      <c r="J123" s="102"/>
      <c r="K123" s="2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</row>
    <row r="124" spans="1:25" ht="13.5" customHeight="1">
      <c r="A124" s="1"/>
      <c r="B124" s="1"/>
      <c r="C124" s="103"/>
      <c r="D124" s="102"/>
      <c r="E124" s="102"/>
      <c r="F124" s="102"/>
      <c r="G124" s="102"/>
      <c r="H124" s="102"/>
      <c r="I124" s="102"/>
      <c r="J124" s="102"/>
      <c r="K124" s="2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</row>
    <row r="125" spans="1:25" ht="13.5" customHeight="1">
      <c r="A125" s="1"/>
      <c r="B125" s="1"/>
      <c r="C125" s="103"/>
      <c r="D125" s="102"/>
      <c r="E125" s="102"/>
      <c r="F125" s="102"/>
      <c r="G125" s="102"/>
      <c r="H125" s="102"/>
      <c r="I125" s="102"/>
      <c r="J125" s="102"/>
      <c r="K125" s="2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</row>
    <row r="126" spans="1:25" ht="13.5" customHeight="1">
      <c r="A126" s="1"/>
      <c r="B126" s="1"/>
      <c r="C126" s="103"/>
      <c r="D126" s="102"/>
      <c r="E126" s="102"/>
      <c r="F126" s="102"/>
      <c r="G126" s="102"/>
      <c r="H126" s="102"/>
      <c r="I126" s="102"/>
      <c r="J126" s="102"/>
      <c r="K126" s="2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</row>
    <row r="127" spans="1:25" ht="13.5" customHeight="1">
      <c r="A127" s="1"/>
      <c r="B127" s="1"/>
      <c r="C127" s="103"/>
      <c r="D127" s="102"/>
      <c r="E127" s="102"/>
      <c r="F127" s="102"/>
      <c r="G127" s="102"/>
      <c r="H127" s="102"/>
      <c r="I127" s="102"/>
      <c r="J127" s="102"/>
      <c r="K127" s="2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</row>
    <row r="128" spans="1:25" ht="13.5" customHeight="1">
      <c r="A128" s="1"/>
      <c r="B128" s="1"/>
      <c r="C128" s="103"/>
      <c r="D128" s="102"/>
      <c r="E128" s="102"/>
      <c r="F128" s="102"/>
      <c r="G128" s="102"/>
      <c r="H128" s="102"/>
      <c r="I128" s="102"/>
      <c r="J128" s="102"/>
      <c r="K128" s="2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</row>
    <row r="129" spans="1:25" ht="13.5" customHeight="1">
      <c r="A129" s="1"/>
      <c r="B129" s="1"/>
      <c r="C129" s="103"/>
      <c r="D129" s="102"/>
      <c r="E129" s="102"/>
      <c r="F129" s="102"/>
      <c r="G129" s="102"/>
      <c r="H129" s="102"/>
      <c r="I129" s="102"/>
      <c r="J129" s="102"/>
      <c r="K129" s="2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</row>
    <row r="130" spans="1:25" ht="13.5" customHeight="1">
      <c r="A130" s="1"/>
      <c r="B130" s="1"/>
      <c r="C130" s="103"/>
      <c r="D130" s="102"/>
      <c r="E130" s="102"/>
      <c r="F130" s="102"/>
      <c r="G130" s="102"/>
      <c r="H130" s="102"/>
      <c r="I130" s="102"/>
      <c r="J130" s="102"/>
      <c r="K130" s="2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</row>
    <row r="131" spans="1:25" ht="13.5" customHeight="1">
      <c r="A131" s="1"/>
      <c r="B131" s="1"/>
      <c r="C131" s="103"/>
      <c r="D131" s="102"/>
      <c r="E131" s="102"/>
      <c r="F131" s="102"/>
      <c r="G131" s="102"/>
      <c r="H131" s="102"/>
      <c r="I131" s="102"/>
      <c r="J131" s="102"/>
      <c r="K131" s="2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</row>
    <row r="132" spans="1:25" ht="13.5" customHeight="1">
      <c r="A132" s="1"/>
      <c r="B132" s="1"/>
      <c r="C132" s="103"/>
      <c r="D132" s="102"/>
      <c r="E132" s="102"/>
      <c r="F132" s="102"/>
      <c r="G132" s="102"/>
      <c r="H132" s="102"/>
      <c r="I132" s="102"/>
      <c r="J132" s="102"/>
      <c r="K132" s="2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</row>
    <row r="133" spans="1:25" ht="13.5" customHeight="1">
      <c r="A133" s="1"/>
      <c r="B133" s="1"/>
      <c r="C133" s="103"/>
      <c r="D133" s="102"/>
      <c r="E133" s="102"/>
      <c r="F133" s="102"/>
      <c r="G133" s="102"/>
      <c r="H133" s="102"/>
      <c r="I133" s="102"/>
      <c r="J133" s="102"/>
      <c r="K133" s="2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</row>
    <row r="134" spans="1:25" ht="13.5" customHeight="1">
      <c r="A134" s="1"/>
      <c r="B134" s="1"/>
      <c r="C134" s="103"/>
      <c r="D134" s="102"/>
      <c r="E134" s="102"/>
      <c r="F134" s="102"/>
      <c r="G134" s="102"/>
      <c r="H134" s="102"/>
      <c r="I134" s="102"/>
      <c r="J134" s="102"/>
      <c r="K134" s="2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</row>
    <row r="135" spans="1:25" ht="13.5" customHeight="1">
      <c r="A135" s="1"/>
      <c r="B135" s="1"/>
      <c r="C135" s="103"/>
      <c r="D135" s="102"/>
      <c r="E135" s="102"/>
      <c r="F135" s="102"/>
      <c r="G135" s="102"/>
      <c r="H135" s="102"/>
      <c r="I135" s="102"/>
      <c r="J135" s="102"/>
      <c r="K135" s="2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</row>
    <row r="136" spans="1:25" ht="13.5" customHeight="1">
      <c r="A136" s="1"/>
      <c r="B136" s="1"/>
      <c r="C136" s="103"/>
      <c r="D136" s="102"/>
      <c r="E136" s="102"/>
      <c r="F136" s="102"/>
      <c r="G136" s="102"/>
      <c r="H136" s="102"/>
      <c r="I136" s="102"/>
      <c r="J136" s="102"/>
      <c r="K136" s="2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</row>
    <row r="137" spans="1:25" ht="13.5" customHeight="1">
      <c r="A137" s="1"/>
      <c r="B137" s="1"/>
      <c r="C137" s="103"/>
      <c r="D137" s="102"/>
      <c r="E137" s="102"/>
      <c r="F137" s="102"/>
      <c r="G137" s="102"/>
      <c r="H137" s="102"/>
      <c r="I137" s="102"/>
      <c r="J137" s="102"/>
      <c r="K137" s="2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</row>
    <row r="138" spans="1:25" ht="13.5" customHeight="1">
      <c r="A138" s="1"/>
      <c r="B138" s="1"/>
      <c r="C138" s="103"/>
      <c r="D138" s="102"/>
      <c r="E138" s="102"/>
      <c r="F138" s="102"/>
      <c r="G138" s="102"/>
      <c r="H138" s="102"/>
      <c r="I138" s="102"/>
      <c r="J138" s="102"/>
      <c r="K138" s="2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</row>
    <row r="139" spans="1:25" ht="13.5" customHeight="1">
      <c r="A139" s="1"/>
      <c r="B139" s="1"/>
      <c r="C139" s="103"/>
      <c r="D139" s="102"/>
      <c r="E139" s="102"/>
      <c r="F139" s="102"/>
      <c r="G139" s="102"/>
      <c r="H139" s="102"/>
      <c r="I139" s="102"/>
      <c r="J139" s="102"/>
      <c r="K139" s="2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</row>
    <row r="140" spans="1:25" ht="13.5" customHeight="1">
      <c r="A140" s="1"/>
      <c r="B140" s="1"/>
      <c r="C140" s="103"/>
      <c r="D140" s="102"/>
      <c r="E140" s="102"/>
      <c r="F140" s="102"/>
      <c r="G140" s="102"/>
      <c r="H140" s="102"/>
      <c r="I140" s="102"/>
      <c r="J140" s="102"/>
      <c r="K140" s="2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</row>
    <row r="141" spans="1:25" ht="13.5" customHeight="1">
      <c r="A141" s="1"/>
      <c r="B141" s="1"/>
      <c r="C141" s="103"/>
      <c r="D141" s="102"/>
      <c r="E141" s="102"/>
      <c r="F141" s="102"/>
      <c r="G141" s="102"/>
      <c r="H141" s="102"/>
      <c r="I141" s="102"/>
      <c r="J141" s="102"/>
      <c r="K141" s="2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</row>
    <row r="142" spans="1:25" ht="13.5" customHeight="1">
      <c r="A142" s="1"/>
      <c r="B142" s="1"/>
      <c r="C142" s="103"/>
      <c r="D142" s="102"/>
      <c r="E142" s="102"/>
      <c r="F142" s="102"/>
      <c r="G142" s="102"/>
      <c r="H142" s="102"/>
      <c r="I142" s="102"/>
      <c r="J142" s="102"/>
      <c r="K142" s="2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</row>
    <row r="143" spans="1:25" ht="13.5" customHeight="1">
      <c r="A143" s="1"/>
      <c r="B143" s="1"/>
      <c r="C143" s="103"/>
      <c r="D143" s="102"/>
      <c r="E143" s="102"/>
      <c r="F143" s="102"/>
      <c r="G143" s="102"/>
      <c r="H143" s="102"/>
      <c r="I143" s="102"/>
      <c r="J143" s="102"/>
      <c r="K143" s="2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</row>
    <row r="144" spans="1:25" ht="13.5" customHeight="1">
      <c r="A144" s="1"/>
      <c r="B144" s="1"/>
      <c r="C144" s="103"/>
      <c r="D144" s="102"/>
      <c r="E144" s="102"/>
      <c r="F144" s="102"/>
      <c r="G144" s="102"/>
      <c r="H144" s="102"/>
      <c r="I144" s="102"/>
      <c r="J144" s="102"/>
      <c r="K144" s="2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</row>
    <row r="145" spans="1:25" ht="13.5" customHeight="1">
      <c r="A145" s="1"/>
      <c r="B145" s="1"/>
      <c r="C145" s="103"/>
      <c r="D145" s="102"/>
      <c r="E145" s="102"/>
      <c r="F145" s="102"/>
      <c r="G145" s="102"/>
      <c r="H145" s="102"/>
      <c r="I145" s="102"/>
      <c r="J145" s="102"/>
      <c r="K145" s="2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</row>
    <row r="146" spans="1:25" ht="13.5" customHeight="1">
      <c r="A146" s="1"/>
      <c r="B146" s="1"/>
      <c r="C146" s="103"/>
      <c r="D146" s="102"/>
      <c r="E146" s="102"/>
      <c r="F146" s="102"/>
      <c r="G146" s="102"/>
      <c r="H146" s="102"/>
      <c r="I146" s="102"/>
      <c r="J146" s="102"/>
      <c r="K146" s="2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</row>
    <row r="147" spans="1:25" ht="13.5" customHeight="1">
      <c r="A147" s="1"/>
      <c r="B147" s="1"/>
      <c r="C147" s="103"/>
      <c r="D147" s="102"/>
      <c r="E147" s="102"/>
      <c r="F147" s="102"/>
      <c r="G147" s="102"/>
      <c r="H147" s="102"/>
      <c r="I147" s="102"/>
      <c r="J147" s="102"/>
      <c r="K147" s="2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</row>
    <row r="148" spans="1:25" ht="13.5" customHeight="1">
      <c r="A148" s="1"/>
      <c r="B148" s="1"/>
      <c r="C148" s="103"/>
      <c r="D148" s="102"/>
      <c r="E148" s="102"/>
      <c r="F148" s="102"/>
      <c r="G148" s="102"/>
      <c r="H148" s="102"/>
      <c r="I148" s="102"/>
      <c r="J148" s="102"/>
      <c r="K148" s="2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</row>
    <row r="149" spans="1:25" ht="13.5" customHeight="1">
      <c r="A149" s="1"/>
      <c r="B149" s="1"/>
      <c r="C149" s="103"/>
      <c r="D149" s="102"/>
      <c r="E149" s="102"/>
      <c r="F149" s="102"/>
      <c r="G149" s="102"/>
      <c r="H149" s="102"/>
      <c r="I149" s="102"/>
      <c r="J149" s="102"/>
      <c r="K149" s="2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</row>
    <row r="150" spans="1:25" ht="13.5" customHeight="1">
      <c r="A150" s="1"/>
      <c r="B150" s="1"/>
      <c r="C150" s="103"/>
      <c r="D150" s="102"/>
      <c r="E150" s="102"/>
      <c r="F150" s="102"/>
      <c r="G150" s="102"/>
      <c r="H150" s="102"/>
      <c r="I150" s="102"/>
      <c r="J150" s="102"/>
      <c r="K150" s="2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</row>
    <row r="151" spans="1:25" ht="13.5" customHeight="1">
      <c r="A151" s="1"/>
      <c r="B151" s="1"/>
      <c r="C151" s="103"/>
      <c r="D151" s="102"/>
      <c r="E151" s="102"/>
      <c r="F151" s="102"/>
      <c r="G151" s="102"/>
      <c r="H151" s="102"/>
      <c r="I151" s="102"/>
      <c r="J151" s="102"/>
      <c r="K151" s="2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</row>
    <row r="152" spans="1:25" ht="13.5" customHeight="1">
      <c r="A152" s="1"/>
      <c r="B152" s="1"/>
      <c r="C152" s="103"/>
      <c r="D152" s="102"/>
      <c r="E152" s="102"/>
      <c r="F152" s="102"/>
      <c r="G152" s="102"/>
      <c r="H152" s="102"/>
      <c r="I152" s="102"/>
      <c r="J152" s="102"/>
      <c r="K152" s="2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</row>
    <row r="153" spans="1:25" ht="13.5" customHeight="1">
      <c r="A153" s="1"/>
      <c r="B153" s="1"/>
      <c r="C153" s="103"/>
      <c r="D153" s="102"/>
      <c r="E153" s="102"/>
      <c r="F153" s="102"/>
      <c r="G153" s="102"/>
      <c r="H153" s="102"/>
      <c r="I153" s="102"/>
      <c r="J153" s="102"/>
      <c r="K153" s="2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</row>
    <row r="154" spans="1:25" ht="13.5" customHeight="1">
      <c r="A154" s="1"/>
      <c r="B154" s="1"/>
      <c r="C154" s="103"/>
      <c r="D154" s="102"/>
      <c r="E154" s="102"/>
      <c r="F154" s="102"/>
      <c r="G154" s="102"/>
      <c r="H154" s="102"/>
      <c r="I154" s="102"/>
      <c r="J154" s="102"/>
      <c r="K154" s="2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</row>
    <row r="155" spans="1:25" ht="13.5" customHeight="1">
      <c r="A155" s="1"/>
      <c r="B155" s="1"/>
      <c r="C155" s="103"/>
      <c r="D155" s="102"/>
      <c r="E155" s="102"/>
      <c r="F155" s="102"/>
      <c r="G155" s="102"/>
      <c r="H155" s="102"/>
      <c r="I155" s="102"/>
      <c r="J155" s="102"/>
      <c r="K155" s="2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</row>
    <row r="156" spans="1:25" ht="13.5" customHeight="1">
      <c r="A156" s="1"/>
      <c r="B156" s="1"/>
      <c r="C156" s="103"/>
      <c r="D156" s="102"/>
      <c r="E156" s="102"/>
      <c r="F156" s="102"/>
      <c r="G156" s="102"/>
      <c r="H156" s="102"/>
      <c r="I156" s="102"/>
      <c r="J156" s="102"/>
      <c r="K156" s="2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</row>
    <row r="157" spans="1:25" ht="13.5" customHeight="1">
      <c r="A157" s="1"/>
      <c r="B157" s="1"/>
      <c r="C157" s="103"/>
      <c r="D157" s="102"/>
      <c r="E157" s="102"/>
      <c r="F157" s="102"/>
      <c r="G157" s="102"/>
      <c r="H157" s="102"/>
      <c r="I157" s="102"/>
      <c r="J157" s="102"/>
      <c r="K157" s="2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</row>
    <row r="158" spans="1:25" ht="13.5" customHeight="1">
      <c r="A158" s="1"/>
      <c r="B158" s="1"/>
      <c r="C158" s="103"/>
      <c r="D158" s="102"/>
      <c r="E158" s="102"/>
      <c r="F158" s="102"/>
      <c r="G158" s="102"/>
      <c r="H158" s="102"/>
      <c r="I158" s="102"/>
      <c r="J158" s="102"/>
      <c r="K158" s="2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</row>
    <row r="159" spans="1:25" ht="13.5" customHeight="1">
      <c r="A159" s="1"/>
      <c r="B159" s="1"/>
      <c r="C159" s="103"/>
      <c r="D159" s="102"/>
      <c r="E159" s="102"/>
      <c r="F159" s="102"/>
      <c r="G159" s="102"/>
      <c r="H159" s="102"/>
      <c r="I159" s="102"/>
      <c r="J159" s="102"/>
      <c r="K159" s="2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</row>
    <row r="160" spans="1:25" ht="13.5" customHeight="1">
      <c r="A160" s="1"/>
      <c r="B160" s="1"/>
      <c r="C160" s="103"/>
      <c r="D160" s="102"/>
      <c r="E160" s="102"/>
      <c r="F160" s="102"/>
      <c r="G160" s="102"/>
      <c r="H160" s="102"/>
      <c r="I160" s="102"/>
      <c r="J160" s="102"/>
      <c r="K160" s="2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</row>
    <row r="161" spans="1:25" ht="13.5" customHeight="1">
      <c r="A161" s="1"/>
      <c r="B161" s="1"/>
      <c r="C161" s="103"/>
      <c r="D161" s="102"/>
      <c r="E161" s="102"/>
      <c r="F161" s="102"/>
      <c r="G161" s="102"/>
      <c r="H161" s="102"/>
      <c r="I161" s="102"/>
      <c r="J161" s="102"/>
      <c r="K161" s="2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</row>
    <row r="162" spans="1:25" ht="13.5" customHeight="1">
      <c r="A162" s="1"/>
      <c r="B162" s="1"/>
      <c r="C162" s="103"/>
      <c r="D162" s="102"/>
      <c r="E162" s="102"/>
      <c r="F162" s="102"/>
      <c r="G162" s="102"/>
      <c r="H162" s="102"/>
      <c r="I162" s="102"/>
      <c r="J162" s="102"/>
      <c r="K162" s="2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</row>
    <row r="163" spans="1:25" ht="13.5" customHeight="1">
      <c r="A163" s="1"/>
      <c r="B163" s="1"/>
      <c r="C163" s="103"/>
      <c r="D163" s="102"/>
      <c r="E163" s="102"/>
      <c r="F163" s="102"/>
      <c r="G163" s="102"/>
      <c r="H163" s="102"/>
      <c r="I163" s="102"/>
      <c r="J163" s="102"/>
      <c r="K163" s="2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</row>
    <row r="164" spans="1:25" ht="13.5" customHeight="1">
      <c r="A164" s="1"/>
      <c r="B164" s="1"/>
      <c r="C164" s="103"/>
      <c r="D164" s="102"/>
      <c r="E164" s="102"/>
      <c r="F164" s="102"/>
      <c r="G164" s="102"/>
      <c r="H164" s="102"/>
      <c r="I164" s="102"/>
      <c r="J164" s="102"/>
      <c r="K164" s="2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</row>
    <row r="165" spans="1:25" ht="13.5" customHeight="1">
      <c r="A165" s="1"/>
      <c r="B165" s="1"/>
      <c r="C165" s="103"/>
      <c r="D165" s="102"/>
      <c r="E165" s="102"/>
      <c r="F165" s="102"/>
      <c r="G165" s="102"/>
      <c r="H165" s="102"/>
      <c r="I165" s="102"/>
      <c r="J165" s="102"/>
      <c r="K165" s="2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</row>
    <row r="166" spans="1:25" ht="13.5" customHeight="1">
      <c r="A166" s="1"/>
      <c r="B166" s="1"/>
      <c r="C166" s="103"/>
      <c r="D166" s="102"/>
      <c r="E166" s="102"/>
      <c r="F166" s="102"/>
      <c r="G166" s="102"/>
      <c r="H166" s="102"/>
      <c r="I166" s="102"/>
      <c r="J166" s="102"/>
      <c r="K166" s="2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</row>
    <row r="167" spans="1:25" ht="13.5" customHeight="1">
      <c r="A167" s="1"/>
      <c r="B167" s="1"/>
      <c r="C167" s="103"/>
      <c r="D167" s="102"/>
      <c r="E167" s="102"/>
      <c r="F167" s="102"/>
      <c r="G167" s="102"/>
      <c r="H167" s="102"/>
      <c r="I167" s="102"/>
      <c r="J167" s="102"/>
      <c r="K167" s="2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</row>
    <row r="168" spans="1:25" ht="13.5" customHeight="1">
      <c r="A168" s="1"/>
      <c r="B168" s="1"/>
      <c r="C168" s="103"/>
      <c r="D168" s="102"/>
      <c r="E168" s="102"/>
      <c r="F168" s="102"/>
      <c r="G168" s="102"/>
      <c r="H168" s="102"/>
      <c r="I168" s="102"/>
      <c r="J168" s="102"/>
      <c r="K168" s="2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</row>
    <row r="169" spans="1:25" ht="13.5" customHeight="1">
      <c r="A169" s="1"/>
      <c r="B169" s="1"/>
      <c r="C169" s="103"/>
      <c r="D169" s="102"/>
      <c r="E169" s="102"/>
      <c r="F169" s="102"/>
      <c r="G169" s="102"/>
      <c r="H169" s="102"/>
      <c r="I169" s="102"/>
      <c r="J169" s="102"/>
      <c r="K169" s="2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</row>
    <row r="170" spans="1:25" ht="13.5" customHeight="1">
      <c r="A170" s="1"/>
      <c r="B170" s="1"/>
      <c r="C170" s="103"/>
      <c r="D170" s="102"/>
      <c r="E170" s="102"/>
      <c r="F170" s="102"/>
      <c r="G170" s="102"/>
      <c r="H170" s="102"/>
      <c r="I170" s="102"/>
      <c r="J170" s="102"/>
      <c r="K170" s="2"/>
      <c r="L170" s="255"/>
      <c r="M170" s="255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</row>
    <row r="171" spans="1:25" ht="13.5" customHeight="1">
      <c r="A171" s="1"/>
      <c r="B171" s="1"/>
      <c r="C171" s="103"/>
      <c r="D171" s="102"/>
      <c r="E171" s="102"/>
      <c r="F171" s="102"/>
      <c r="G171" s="102"/>
      <c r="H171" s="102"/>
      <c r="I171" s="102"/>
      <c r="J171" s="102"/>
      <c r="K171" s="2"/>
      <c r="L171" s="255"/>
      <c r="M171" s="255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</row>
    <row r="172" spans="1:25" ht="13.5" customHeight="1">
      <c r="A172" s="1"/>
      <c r="B172" s="1"/>
      <c r="C172" s="103"/>
      <c r="D172" s="102"/>
      <c r="E172" s="102"/>
      <c r="F172" s="102"/>
      <c r="G172" s="102"/>
      <c r="H172" s="102"/>
      <c r="I172" s="102"/>
      <c r="J172" s="102"/>
      <c r="K172" s="2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</row>
    <row r="173" spans="1:25" ht="13.5" customHeight="1">
      <c r="A173" s="1"/>
      <c r="B173" s="1"/>
      <c r="C173" s="103"/>
      <c r="D173" s="102"/>
      <c r="E173" s="102"/>
      <c r="F173" s="102"/>
      <c r="G173" s="102"/>
      <c r="H173" s="102"/>
      <c r="I173" s="102"/>
      <c r="J173" s="102"/>
      <c r="K173" s="2"/>
      <c r="L173" s="255"/>
      <c r="M173" s="255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</row>
    <row r="174" spans="1:25" ht="13.5" customHeight="1">
      <c r="A174" s="1"/>
      <c r="B174" s="1"/>
      <c r="C174" s="103"/>
      <c r="D174" s="102"/>
      <c r="E174" s="102"/>
      <c r="F174" s="102"/>
      <c r="G174" s="102"/>
      <c r="H174" s="102"/>
      <c r="I174" s="102"/>
      <c r="J174" s="102"/>
      <c r="K174" s="2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</row>
    <row r="175" spans="1:25" ht="13.5" customHeight="1">
      <c r="A175" s="1"/>
      <c r="B175" s="1"/>
      <c r="C175" s="103"/>
      <c r="D175" s="102"/>
      <c r="E175" s="102"/>
      <c r="F175" s="102"/>
      <c r="G175" s="102"/>
      <c r="H175" s="102"/>
      <c r="I175" s="102"/>
      <c r="J175" s="102"/>
      <c r="K175" s="2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</row>
    <row r="176" spans="1:25" ht="13.5" customHeight="1">
      <c r="A176" s="1"/>
      <c r="B176" s="1"/>
      <c r="C176" s="103"/>
      <c r="D176" s="102"/>
      <c r="E176" s="102"/>
      <c r="F176" s="102"/>
      <c r="G176" s="102"/>
      <c r="H176" s="102"/>
      <c r="I176" s="102"/>
      <c r="J176" s="102"/>
      <c r="K176" s="2"/>
      <c r="L176" s="255"/>
      <c r="M176" s="255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</row>
    <row r="177" spans="1:25" ht="13.5" customHeight="1">
      <c r="A177" s="1"/>
      <c r="B177" s="1"/>
      <c r="C177" s="103"/>
      <c r="D177" s="102"/>
      <c r="E177" s="102"/>
      <c r="F177" s="102"/>
      <c r="G177" s="102"/>
      <c r="H177" s="102"/>
      <c r="I177" s="102"/>
      <c r="J177" s="102"/>
      <c r="K177" s="2"/>
      <c r="L177" s="255"/>
      <c r="M177" s="255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</row>
    <row r="178" spans="1:25" ht="13.5" customHeight="1">
      <c r="A178" s="1"/>
      <c r="B178" s="1"/>
      <c r="C178" s="103"/>
      <c r="D178" s="102"/>
      <c r="E178" s="102"/>
      <c r="F178" s="102"/>
      <c r="G178" s="102"/>
      <c r="H178" s="102"/>
      <c r="I178" s="102"/>
      <c r="J178" s="102"/>
      <c r="K178" s="2"/>
      <c r="L178" s="255"/>
      <c r="M178" s="255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</row>
    <row r="179" spans="1:25" ht="13.5" customHeight="1">
      <c r="A179" s="1"/>
      <c r="B179" s="1"/>
      <c r="C179" s="103"/>
      <c r="D179" s="102"/>
      <c r="E179" s="102"/>
      <c r="F179" s="102"/>
      <c r="G179" s="102"/>
      <c r="H179" s="102"/>
      <c r="I179" s="102"/>
      <c r="J179" s="102"/>
      <c r="K179" s="2"/>
      <c r="L179" s="255"/>
      <c r="M179" s="255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</row>
    <row r="180" spans="1:25" ht="13.5" customHeight="1">
      <c r="A180" s="1"/>
      <c r="B180" s="1"/>
      <c r="C180" s="103"/>
      <c r="D180" s="102"/>
      <c r="E180" s="102"/>
      <c r="F180" s="102"/>
      <c r="G180" s="102"/>
      <c r="H180" s="102"/>
      <c r="I180" s="102"/>
      <c r="J180" s="102"/>
      <c r="K180" s="2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</row>
    <row r="181" spans="1:25" ht="13.5" customHeight="1">
      <c r="A181" s="1"/>
      <c r="B181" s="1"/>
      <c r="C181" s="103"/>
      <c r="D181" s="102"/>
      <c r="E181" s="102"/>
      <c r="F181" s="102"/>
      <c r="G181" s="102"/>
      <c r="H181" s="102"/>
      <c r="I181" s="102"/>
      <c r="J181" s="102"/>
      <c r="K181" s="2"/>
      <c r="L181" s="255"/>
      <c r="M181" s="255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</row>
    <row r="182" spans="1:25" ht="13.5" customHeight="1">
      <c r="A182" s="1"/>
      <c r="B182" s="1"/>
      <c r="C182" s="103"/>
      <c r="D182" s="102"/>
      <c r="E182" s="102"/>
      <c r="F182" s="102"/>
      <c r="G182" s="102"/>
      <c r="H182" s="102"/>
      <c r="I182" s="102"/>
      <c r="J182" s="102"/>
      <c r="K182" s="2"/>
      <c r="L182" s="255"/>
      <c r="M182" s="255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</row>
    <row r="183" spans="1:25" ht="13.5" customHeight="1">
      <c r="A183" s="1"/>
      <c r="B183" s="1"/>
      <c r="C183" s="103"/>
      <c r="D183" s="102"/>
      <c r="E183" s="102"/>
      <c r="F183" s="102"/>
      <c r="G183" s="102"/>
      <c r="H183" s="102"/>
      <c r="I183" s="102"/>
      <c r="J183" s="102"/>
      <c r="K183" s="2"/>
      <c r="L183" s="255"/>
      <c r="M183" s="255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</row>
    <row r="184" spans="1:25" ht="13.5" customHeight="1">
      <c r="A184" s="1"/>
      <c r="B184" s="1"/>
      <c r="C184" s="103"/>
      <c r="D184" s="102"/>
      <c r="E184" s="102"/>
      <c r="F184" s="102"/>
      <c r="G184" s="102"/>
      <c r="H184" s="102"/>
      <c r="I184" s="102"/>
      <c r="J184" s="102"/>
      <c r="K184" s="2"/>
      <c r="L184" s="255"/>
      <c r="M184" s="255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</row>
    <row r="185" spans="1:25" ht="13.5" customHeight="1">
      <c r="A185" s="1"/>
      <c r="B185" s="1"/>
      <c r="C185" s="103"/>
      <c r="D185" s="102"/>
      <c r="E185" s="102"/>
      <c r="F185" s="102"/>
      <c r="G185" s="102"/>
      <c r="H185" s="102"/>
      <c r="I185" s="102"/>
      <c r="J185" s="102"/>
      <c r="K185" s="2"/>
      <c r="L185" s="255"/>
      <c r="M185" s="255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</row>
    <row r="186" spans="1:25" ht="13.5" customHeight="1">
      <c r="A186" s="1"/>
      <c r="B186" s="1"/>
      <c r="C186" s="103"/>
      <c r="D186" s="102"/>
      <c r="E186" s="102"/>
      <c r="F186" s="102"/>
      <c r="G186" s="102"/>
      <c r="H186" s="102"/>
      <c r="I186" s="102"/>
      <c r="J186" s="102"/>
      <c r="K186" s="2"/>
      <c r="L186" s="255"/>
      <c r="M186" s="255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</row>
    <row r="187" spans="1:25" ht="13.5" customHeight="1">
      <c r="A187" s="1"/>
      <c r="B187" s="1"/>
      <c r="C187" s="103"/>
      <c r="D187" s="102"/>
      <c r="E187" s="102"/>
      <c r="F187" s="102"/>
      <c r="G187" s="102"/>
      <c r="H187" s="102"/>
      <c r="I187" s="102"/>
      <c r="J187" s="102"/>
      <c r="K187" s="2"/>
      <c r="L187" s="255"/>
      <c r="M187" s="255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</row>
    <row r="188" spans="1:25" ht="13.5" customHeight="1">
      <c r="A188" s="1"/>
      <c r="B188" s="1"/>
      <c r="C188" s="103"/>
      <c r="D188" s="102"/>
      <c r="E188" s="102"/>
      <c r="F188" s="102"/>
      <c r="G188" s="102"/>
      <c r="H188" s="102"/>
      <c r="I188" s="102"/>
      <c r="J188" s="102"/>
      <c r="K188" s="2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</row>
    <row r="189" spans="1:25" ht="13.5" customHeight="1">
      <c r="A189" s="1"/>
      <c r="B189" s="1"/>
      <c r="C189" s="103"/>
      <c r="D189" s="102"/>
      <c r="E189" s="102"/>
      <c r="F189" s="102"/>
      <c r="G189" s="102"/>
      <c r="H189" s="102"/>
      <c r="I189" s="102"/>
      <c r="J189" s="102"/>
      <c r="K189" s="2"/>
      <c r="L189" s="255"/>
      <c r="M189" s="255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</row>
    <row r="190" spans="1:25" ht="13.5" customHeight="1">
      <c r="A190" s="1"/>
      <c r="B190" s="1"/>
      <c r="C190" s="103"/>
      <c r="D190" s="102"/>
      <c r="E190" s="102"/>
      <c r="F190" s="102"/>
      <c r="G190" s="102"/>
      <c r="H190" s="102"/>
      <c r="I190" s="102"/>
      <c r="J190" s="102"/>
      <c r="K190" s="2"/>
      <c r="L190" s="255"/>
      <c r="M190" s="255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</row>
    <row r="191" spans="1:25" ht="13.5" customHeight="1">
      <c r="A191" s="1"/>
      <c r="B191" s="1"/>
      <c r="C191" s="103"/>
      <c r="D191" s="102"/>
      <c r="E191" s="102"/>
      <c r="F191" s="102"/>
      <c r="G191" s="102"/>
      <c r="H191" s="102"/>
      <c r="I191" s="102"/>
      <c r="J191" s="102"/>
      <c r="K191" s="2"/>
      <c r="L191" s="255"/>
      <c r="M191" s="255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</row>
    <row r="192" spans="1:25" ht="13.5" customHeight="1">
      <c r="A192" s="1"/>
      <c r="B192" s="1"/>
      <c r="C192" s="103"/>
      <c r="D192" s="102"/>
      <c r="E192" s="102"/>
      <c r="F192" s="102"/>
      <c r="G192" s="102"/>
      <c r="H192" s="102"/>
      <c r="I192" s="102"/>
      <c r="J192" s="102"/>
      <c r="K192" s="2"/>
      <c r="L192" s="255"/>
      <c r="M192" s="255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</row>
    <row r="193" spans="1:25" ht="13.5" customHeight="1">
      <c r="A193" s="1"/>
      <c r="B193" s="1"/>
      <c r="C193" s="103"/>
      <c r="D193" s="102"/>
      <c r="E193" s="102"/>
      <c r="F193" s="102"/>
      <c r="G193" s="102"/>
      <c r="H193" s="102"/>
      <c r="I193" s="102"/>
      <c r="J193" s="102"/>
      <c r="K193" s="2"/>
      <c r="L193" s="255"/>
      <c r="M193" s="255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</row>
    <row r="194" spans="1:25" ht="13.5" customHeight="1">
      <c r="A194" s="1"/>
      <c r="B194" s="1"/>
      <c r="C194" s="103"/>
      <c r="D194" s="102"/>
      <c r="E194" s="102"/>
      <c r="F194" s="102"/>
      <c r="G194" s="102"/>
      <c r="H194" s="102"/>
      <c r="I194" s="102"/>
      <c r="J194" s="102"/>
      <c r="K194" s="2"/>
      <c r="L194" s="255"/>
      <c r="M194" s="255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</row>
    <row r="195" spans="1:25" ht="13.5" customHeight="1">
      <c r="A195" s="1"/>
      <c r="B195" s="1"/>
      <c r="C195" s="103"/>
      <c r="D195" s="102"/>
      <c r="E195" s="102"/>
      <c r="F195" s="102"/>
      <c r="G195" s="102"/>
      <c r="H195" s="102"/>
      <c r="I195" s="102"/>
      <c r="J195" s="102"/>
      <c r="K195" s="2"/>
      <c r="L195" s="255"/>
      <c r="M195" s="255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</row>
    <row r="196" spans="1:25" ht="13.5" customHeight="1">
      <c r="A196" s="1"/>
      <c r="B196" s="1"/>
      <c r="C196" s="103"/>
      <c r="D196" s="102"/>
      <c r="E196" s="102"/>
      <c r="F196" s="102"/>
      <c r="G196" s="102"/>
      <c r="H196" s="102"/>
      <c r="I196" s="102"/>
      <c r="J196" s="102"/>
      <c r="K196" s="2"/>
      <c r="L196" s="255"/>
      <c r="M196" s="255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</row>
    <row r="197" spans="1:25" ht="13.5" customHeight="1">
      <c r="A197" s="1"/>
      <c r="B197" s="1"/>
      <c r="C197" s="103"/>
      <c r="D197" s="102"/>
      <c r="E197" s="102"/>
      <c r="F197" s="102"/>
      <c r="G197" s="102"/>
      <c r="H197" s="102"/>
      <c r="I197" s="102"/>
      <c r="J197" s="102"/>
      <c r="K197" s="2"/>
      <c r="L197" s="255"/>
      <c r="M197" s="255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</row>
    <row r="198" spans="1:25" ht="13.5" customHeight="1">
      <c r="A198" s="1"/>
      <c r="B198" s="1"/>
      <c r="C198" s="103"/>
      <c r="D198" s="102"/>
      <c r="E198" s="102"/>
      <c r="F198" s="102"/>
      <c r="G198" s="102"/>
      <c r="H198" s="102"/>
      <c r="I198" s="102"/>
      <c r="J198" s="102"/>
      <c r="K198" s="2"/>
      <c r="L198" s="255"/>
      <c r="M198" s="255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</row>
    <row r="199" spans="1:25" ht="13.5" customHeight="1">
      <c r="A199" s="1"/>
      <c r="B199" s="1"/>
      <c r="C199" s="103"/>
      <c r="D199" s="102"/>
      <c r="E199" s="102"/>
      <c r="F199" s="102"/>
      <c r="G199" s="102"/>
      <c r="H199" s="102"/>
      <c r="I199" s="102"/>
      <c r="J199" s="102"/>
      <c r="K199" s="2"/>
      <c r="L199" s="255"/>
      <c r="M199" s="255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</row>
    <row r="200" spans="1:25" ht="13.5" customHeight="1">
      <c r="A200" s="1"/>
      <c r="B200" s="1"/>
      <c r="C200" s="103"/>
      <c r="D200" s="102"/>
      <c r="E200" s="102"/>
      <c r="F200" s="102"/>
      <c r="G200" s="102"/>
      <c r="H200" s="102"/>
      <c r="I200" s="102"/>
      <c r="J200" s="102"/>
      <c r="K200" s="2"/>
      <c r="L200" s="255"/>
      <c r="M200" s="255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</row>
    <row r="201" spans="1:25" ht="13.5" customHeight="1">
      <c r="A201" s="1"/>
      <c r="B201" s="1"/>
      <c r="C201" s="103"/>
      <c r="D201" s="102"/>
      <c r="E201" s="102"/>
      <c r="F201" s="102"/>
      <c r="G201" s="102"/>
      <c r="H201" s="102"/>
      <c r="I201" s="102"/>
      <c r="J201" s="102"/>
      <c r="K201" s="2"/>
      <c r="L201" s="255"/>
      <c r="M201" s="255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</row>
    <row r="202" spans="1:25" ht="13.5" customHeight="1">
      <c r="A202" s="1"/>
      <c r="B202" s="1"/>
      <c r="C202" s="103"/>
      <c r="D202" s="102"/>
      <c r="E202" s="102"/>
      <c r="F202" s="102"/>
      <c r="G202" s="102"/>
      <c r="H202" s="102"/>
      <c r="I202" s="102"/>
      <c r="J202" s="102"/>
      <c r="K202" s="2"/>
      <c r="L202" s="255"/>
      <c r="M202" s="255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</row>
    <row r="203" spans="1:25" ht="13.5" customHeight="1">
      <c r="A203" s="1"/>
      <c r="B203" s="1"/>
      <c r="C203" s="103"/>
      <c r="D203" s="102"/>
      <c r="E203" s="102"/>
      <c r="F203" s="102"/>
      <c r="G203" s="102"/>
      <c r="H203" s="102"/>
      <c r="I203" s="102"/>
      <c r="J203" s="102"/>
      <c r="K203" s="2"/>
      <c r="L203" s="255"/>
      <c r="M203" s="255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</row>
    <row r="204" spans="1:25" ht="13.5" customHeight="1">
      <c r="A204" s="1"/>
      <c r="B204" s="1"/>
      <c r="C204" s="103"/>
      <c r="D204" s="102"/>
      <c r="E204" s="102"/>
      <c r="F204" s="102"/>
      <c r="G204" s="102"/>
      <c r="H204" s="102"/>
      <c r="I204" s="102"/>
      <c r="J204" s="102"/>
      <c r="K204" s="2"/>
      <c r="L204" s="255"/>
      <c r="M204" s="255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</row>
    <row r="205" spans="1:25" ht="13.5" customHeight="1">
      <c r="A205" s="1"/>
      <c r="B205" s="1"/>
      <c r="C205" s="103"/>
      <c r="D205" s="102"/>
      <c r="E205" s="102"/>
      <c r="F205" s="102"/>
      <c r="G205" s="102"/>
      <c r="H205" s="102"/>
      <c r="I205" s="102"/>
      <c r="J205" s="102"/>
      <c r="K205" s="2"/>
      <c r="L205" s="255"/>
      <c r="M205" s="255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</row>
    <row r="206" spans="1:25" ht="13.5" customHeight="1">
      <c r="A206" s="1"/>
      <c r="B206" s="1"/>
      <c r="C206" s="103"/>
      <c r="D206" s="102"/>
      <c r="E206" s="102"/>
      <c r="F206" s="102"/>
      <c r="G206" s="102"/>
      <c r="H206" s="102"/>
      <c r="I206" s="102"/>
      <c r="J206" s="102"/>
      <c r="K206" s="2"/>
      <c r="L206" s="255"/>
      <c r="M206" s="255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</row>
    <row r="207" spans="1:25" ht="13.5" customHeight="1">
      <c r="A207" s="1"/>
      <c r="B207" s="1"/>
      <c r="C207" s="103"/>
      <c r="D207" s="102"/>
      <c r="E207" s="102"/>
      <c r="F207" s="102"/>
      <c r="G207" s="102"/>
      <c r="H207" s="102"/>
      <c r="I207" s="102"/>
      <c r="J207" s="102"/>
      <c r="K207" s="2"/>
      <c r="L207" s="255"/>
      <c r="M207" s="255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</row>
    <row r="208" spans="1:25" ht="13.5" customHeight="1">
      <c r="A208" s="1"/>
      <c r="B208" s="1"/>
      <c r="C208" s="103"/>
      <c r="D208" s="102"/>
      <c r="E208" s="102"/>
      <c r="F208" s="102"/>
      <c r="G208" s="102"/>
      <c r="H208" s="102"/>
      <c r="I208" s="102"/>
      <c r="J208" s="102"/>
      <c r="K208" s="2"/>
      <c r="L208" s="255"/>
      <c r="M208" s="255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</row>
    <row r="209" spans="1:25" ht="13.5" customHeight="1">
      <c r="A209" s="1"/>
      <c r="B209" s="1"/>
      <c r="C209" s="103"/>
      <c r="D209" s="102"/>
      <c r="E209" s="102"/>
      <c r="F209" s="102"/>
      <c r="G209" s="102"/>
      <c r="H209" s="102"/>
      <c r="I209" s="102"/>
      <c r="J209" s="102"/>
      <c r="K209" s="2"/>
      <c r="L209" s="255"/>
      <c r="M209" s="255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</row>
    <row r="210" spans="1:25" ht="13.5" customHeight="1">
      <c r="A210" s="1"/>
      <c r="B210" s="1"/>
      <c r="C210" s="103"/>
      <c r="D210" s="102"/>
      <c r="E210" s="102"/>
      <c r="F210" s="102"/>
      <c r="G210" s="102"/>
      <c r="H210" s="102"/>
      <c r="I210" s="102"/>
      <c r="J210" s="102"/>
      <c r="K210" s="2"/>
      <c r="L210" s="255"/>
      <c r="M210" s="255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</row>
    <row r="211" spans="1:25" ht="13.5" customHeight="1">
      <c r="A211" s="1"/>
      <c r="B211" s="1"/>
      <c r="C211" s="103"/>
      <c r="D211" s="102"/>
      <c r="E211" s="102"/>
      <c r="F211" s="102"/>
      <c r="G211" s="102"/>
      <c r="H211" s="102"/>
      <c r="I211" s="102"/>
      <c r="J211" s="102"/>
      <c r="K211" s="2"/>
      <c r="L211" s="255"/>
      <c r="M211" s="255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</row>
    <row r="212" spans="1:25" ht="13.5" customHeight="1">
      <c r="A212" s="1"/>
      <c r="B212" s="1"/>
      <c r="C212" s="103"/>
      <c r="D212" s="102"/>
      <c r="E212" s="102"/>
      <c r="F212" s="102"/>
      <c r="G212" s="102"/>
      <c r="H212" s="102"/>
      <c r="I212" s="102"/>
      <c r="J212" s="102"/>
      <c r="K212" s="2"/>
      <c r="L212" s="255"/>
      <c r="M212" s="255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</row>
    <row r="213" spans="1:25" ht="13.5" customHeight="1">
      <c r="A213" s="1"/>
      <c r="B213" s="1"/>
      <c r="C213" s="103"/>
      <c r="D213" s="102"/>
      <c r="E213" s="102"/>
      <c r="F213" s="102"/>
      <c r="G213" s="102"/>
      <c r="H213" s="102"/>
      <c r="I213" s="102"/>
      <c r="J213" s="102"/>
      <c r="K213" s="2"/>
      <c r="L213" s="255"/>
      <c r="M213" s="255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</row>
    <row r="214" spans="1:25" ht="13.5" customHeight="1">
      <c r="A214" s="1"/>
      <c r="B214" s="1"/>
      <c r="C214" s="103"/>
      <c r="D214" s="102"/>
      <c r="E214" s="102"/>
      <c r="F214" s="102"/>
      <c r="G214" s="102"/>
      <c r="H214" s="102"/>
      <c r="I214" s="102"/>
      <c r="J214" s="102"/>
      <c r="K214" s="2"/>
      <c r="L214" s="255"/>
      <c r="M214" s="255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</row>
    <row r="215" spans="1:25" ht="13.5" customHeight="1">
      <c r="A215" s="1"/>
      <c r="B215" s="1"/>
      <c r="C215" s="103"/>
      <c r="D215" s="102"/>
      <c r="E215" s="102"/>
      <c r="F215" s="102"/>
      <c r="G215" s="102"/>
      <c r="H215" s="102"/>
      <c r="I215" s="102"/>
      <c r="J215" s="102"/>
      <c r="K215" s="2"/>
      <c r="L215" s="255"/>
      <c r="M215" s="255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</row>
    <row r="216" spans="1:25" ht="13.5" customHeight="1">
      <c r="A216" s="1"/>
      <c r="B216" s="1"/>
      <c r="C216" s="103"/>
      <c r="D216" s="102"/>
      <c r="E216" s="102"/>
      <c r="F216" s="102"/>
      <c r="G216" s="102"/>
      <c r="H216" s="102"/>
      <c r="I216" s="102"/>
      <c r="J216" s="102"/>
      <c r="K216" s="2"/>
      <c r="L216" s="255"/>
      <c r="M216" s="255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</row>
    <row r="217" spans="1:25" ht="13.5" customHeight="1">
      <c r="A217" s="1"/>
      <c r="B217" s="1"/>
      <c r="C217" s="103"/>
      <c r="D217" s="102"/>
      <c r="E217" s="102"/>
      <c r="F217" s="102"/>
      <c r="G217" s="102"/>
      <c r="H217" s="102"/>
      <c r="I217" s="102"/>
      <c r="J217" s="102"/>
      <c r="K217" s="2"/>
      <c r="L217" s="255"/>
      <c r="M217" s="255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</row>
    <row r="218" spans="1:25" ht="13.5" customHeight="1">
      <c r="A218" s="1"/>
      <c r="B218" s="1"/>
      <c r="C218" s="103"/>
      <c r="D218" s="102"/>
      <c r="E218" s="102"/>
      <c r="F218" s="102"/>
      <c r="G218" s="102"/>
      <c r="H218" s="102"/>
      <c r="I218" s="102"/>
      <c r="J218" s="102"/>
      <c r="K218" s="2"/>
      <c r="L218" s="255"/>
      <c r="M218" s="255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</row>
    <row r="219" spans="1:25" ht="13.5" customHeight="1">
      <c r="A219" s="1"/>
      <c r="B219" s="1"/>
      <c r="C219" s="103"/>
      <c r="D219" s="102"/>
      <c r="E219" s="102"/>
      <c r="F219" s="102"/>
      <c r="G219" s="102"/>
      <c r="H219" s="102"/>
      <c r="I219" s="102"/>
      <c r="J219" s="102"/>
      <c r="K219" s="2"/>
      <c r="L219" s="255"/>
      <c r="M219" s="255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</row>
    <row r="220" spans="1:25" ht="13.5" customHeight="1">
      <c r="A220" s="1"/>
      <c r="B220" s="1"/>
      <c r="C220" s="103"/>
      <c r="D220" s="102"/>
      <c r="E220" s="102"/>
      <c r="F220" s="102"/>
      <c r="G220" s="102"/>
      <c r="H220" s="102"/>
      <c r="I220" s="102"/>
      <c r="J220" s="102"/>
      <c r="K220" s="2"/>
      <c r="L220" s="255"/>
      <c r="M220" s="255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</row>
    <row r="221" spans="1:25" ht="13.5" customHeight="1">
      <c r="A221" s="1"/>
      <c r="B221" s="1"/>
      <c r="C221" s="103"/>
      <c r="D221" s="102"/>
      <c r="E221" s="102"/>
      <c r="F221" s="102"/>
      <c r="G221" s="102"/>
      <c r="H221" s="102"/>
      <c r="I221" s="102"/>
      <c r="J221" s="102"/>
      <c r="K221" s="2"/>
      <c r="L221" s="255"/>
      <c r="M221" s="255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</row>
    <row r="222" spans="1:25" ht="13.5" customHeight="1">
      <c r="A222" s="1"/>
      <c r="B222" s="1"/>
      <c r="C222" s="103"/>
      <c r="D222" s="102"/>
      <c r="E222" s="102"/>
      <c r="F222" s="102"/>
      <c r="G222" s="102"/>
      <c r="H222" s="102"/>
      <c r="I222" s="102"/>
      <c r="J222" s="102"/>
      <c r="K222" s="2"/>
      <c r="L222" s="255"/>
      <c r="M222" s="255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</row>
    <row r="223" spans="1:25" ht="13.5" customHeight="1">
      <c r="A223" s="1"/>
      <c r="B223" s="1"/>
      <c r="C223" s="103"/>
      <c r="D223" s="102"/>
      <c r="E223" s="102"/>
      <c r="F223" s="102"/>
      <c r="G223" s="102"/>
      <c r="H223" s="102"/>
      <c r="I223" s="102"/>
      <c r="J223" s="102"/>
      <c r="K223" s="2"/>
      <c r="L223" s="255"/>
      <c r="M223" s="255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</row>
    <row r="224" spans="1:25" ht="13.5" customHeight="1">
      <c r="A224" s="1"/>
      <c r="B224" s="1"/>
      <c r="C224" s="103"/>
      <c r="D224" s="102"/>
      <c r="E224" s="102"/>
      <c r="F224" s="102"/>
      <c r="G224" s="102"/>
      <c r="H224" s="102"/>
      <c r="I224" s="102"/>
      <c r="J224" s="102"/>
      <c r="K224" s="2"/>
      <c r="L224" s="255"/>
      <c r="M224" s="255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</row>
    <row r="225" spans="1:25" ht="13.5" customHeight="1">
      <c r="A225" s="1"/>
      <c r="B225" s="1"/>
      <c r="C225" s="103"/>
      <c r="D225" s="102"/>
      <c r="E225" s="102"/>
      <c r="F225" s="102"/>
      <c r="G225" s="102"/>
      <c r="H225" s="102"/>
      <c r="I225" s="102"/>
      <c r="J225" s="102"/>
      <c r="K225" s="2"/>
      <c r="L225" s="255"/>
      <c r="M225" s="255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</row>
    <row r="226" spans="1:25" ht="13.5" customHeight="1">
      <c r="A226" s="1"/>
      <c r="B226" s="1"/>
      <c r="C226" s="103"/>
      <c r="D226" s="102"/>
      <c r="E226" s="102"/>
      <c r="F226" s="102"/>
      <c r="G226" s="102"/>
      <c r="H226" s="102"/>
      <c r="I226" s="102"/>
      <c r="J226" s="102"/>
      <c r="K226" s="2"/>
      <c r="L226" s="255"/>
      <c r="M226" s="255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</row>
    <row r="227" spans="1:25" ht="13.5" customHeight="1">
      <c r="A227" s="1"/>
      <c r="B227" s="1"/>
      <c r="C227" s="103"/>
      <c r="D227" s="102"/>
      <c r="E227" s="102"/>
      <c r="F227" s="102"/>
      <c r="G227" s="102"/>
      <c r="H227" s="102"/>
      <c r="I227" s="102"/>
      <c r="J227" s="102"/>
      <c r="K227" s="2"/>
      <c r="L227" s="255"/>
      <c r="M227" s="255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</row>
    <row r="228" spans="1:25" ht="13.5" customHeight="1">
      <c r="A228" s="1"/>
      <c r="B228" s="1"/>
      <c r="C228" s="103"/>
      <c r="D228" s="102"/>
      <c r="E228" s="102"/>
      <c r="F228" s="102"/>
      <c r="G228" s="102"/>
      <c r="H228" s="102"/>
      <c r="I228" s="102"/>
      <c r="J228" s="102"/>
      <c r="K228" s="2"/>
      <c r="L228" s="255"/>
      <c r="M228" s="255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</row>
    <row r="229" spans="1:25" ht="13.5" customHeight="1">
      <c r="A229" s="1"/>
      <c r="B229" s="1"/>
      <c r="C229" s="103"/>
      <c r="D229" s="102"/>
      <c r="E229" s="102"/>
      <c r="F229" s="102"/>
      <c r="G229" s="102"/>
      <c r="H229" s="102"/>
      <c r="I229" s="102"/>
      <c r="J229" s="102"/>
      <c r="K229" s="2"/>
      <c r="L229" s="255"/>
      <c r="M229" s="255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</row>
    <row r="230" spans="1:25" ht="13.5" customHeight="1">
      <c r="A230" s="1"/>
      <c r="B230" s="1"/>
      <c r="C230" s="103"/>
      <c r="D230" s="102"/>
      <c r="E230" s="102"/>
      <c r="F230" s="102"/>
      <c r="G230" s="102"/>
      <c r="H230" s="102"/>
      <c r="I230" s="102"/>
      <c r="J230" s="102"/>
      <c r="K230" s="2"/>
      <c r="L230" s="255"/>
      <c r="M230" s="255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</row>
    <row r="231" spans="1:25" ht="13.5" customHeight="1">
      <c r="A231" s="1"/>
      <c r="B231" s="1"/>
      <c r="C231" s="103"/>
      <c r="D231" s="102"/>
      <c r="E231" s="102"/>
      <c r="F231" s="102"/>
      <c r="G231" s="102"/>
      <c r="H231" s="102"/>
      <c r="I231" s="102"/>
      <c r="J231" s="102"/>
      <c r="K231" s="2"/>
      <c r="L231" s="255"/>
      <c r="M231" s="255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</row>
    <row r="232" spans="1:25" ht="13.5" customHeight="1">
      <c r="A232" s="1"/>
      <c r="B232" s="1"/>
      <c r="C232" s="103"/>
      <c r="D232" s="102"/>
      <c r="E232" s="102"/>
      <c r="F232" s="102"/>
      <c r="G232" s="102"/>
      <c r="H232" s="102"/>
      <c r="I232" s="102"/>
      <c r="J232" s="102"/>
      <c r="K232" s="2"/>
      <c r="L232" s="255"/>
      <c r="M232" s="255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</row>
    <row r="233" spans="1:25" ht="13.5" customHeight="1">
      <c r="A233" s="1"/>
      <c r="B233" s="1"/>
      <c r="C233" s="103"/>
      <c r="D233" s="102"/>
      <c r="E233" s="102"/>
      <c r="F233" s="102"/>
      <c r="G233" s="102"/>
      <c r="H233" s="102"/>
      <c r="I233" s="102"/>
      <c r="J233" s="102"/>
      <c r="K233" s="2"/>
      <c r="L233" s="255"/>
      <c r="M233" s="255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</row>
    <row r="234" spans="1:25" ht="13.5" customHeight="1">
      <c r="A234" s="1"/>
      <c r="B234" s="1"/>
      <c r="C234" s="103"/>
      <c r="D234" s="102"/>
      <c r="E234" s="102"/>
      <c r="F234" s="102"/>
      <c r="G234" s="102"/>
      <c r="H234" s="102"/>
      <c r="I234" s="102"/>
      <c r="J234" s="102"/>
      <c r="K234" s="2"/>
      <c r="L234" s="255"/>
      <c r="M234" s="255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</row>
    <row r="235" spans="1:25" ht="13.5" customHeight="1">
      <c r="A235" s="1"/>
      <c r="B235" s="1"/>
      <c r="C235" s="103"/>
      <c r="D235" s="102"/>
      <c r="E235" s="102"/>
      <c r="F235" s="102"/>
      <c r="G235" s="102"/>
      <c r="H235" s="102"/>
      <c r="I235" s="102"/>
      <c r="J235" s="102"/>
      <c r="K235" s="2"/>
      <c r="L235" s="255"/>
      <c r="M235" s="255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</row>
    <row r="236" spans="1:25" ht="13.5" customHeight="1">
      <c r="A236" s="1"/>
      <c r="B236" s="1"/>
      <c r="C236" s="103"/>
      <c r="D236" s="102"/>
      <c r="E236" s="102"/>
      <c r="F236" s="102"/>
      <c r="G236" s="102"/>
      <c r="H236" s="102"/>
      <c r="I236" s="102"/>
      <c r="J236" s="102"/>
      <c r="K236" s="2"/>
      <c r="L236" s="255"/>
      <c r="M236" s="255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</row>
    <row r="237" spans="1:25" ht="13.5" customHeight="1">
      <c r="A237" s="1"/>
      <c r="B237" s="1"/>
      <c r="C237" s="103"/>
      <c r="D237" s="102"/>
      <c r="E237" s="102"/>
      <c r="F237" s="102"/>
      <c r="G237" s="102"/>
      <c r="H237" s="102"/>
      <c r="I237" s="102"/>
      <c r="J237" s="102"/>
      <c r="K237" s="2"/>
      <c r="L237" s="255"/>
      <c r="M237" s="255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</row>
    <row r="238" spans="1:25" ht="13.5" customHeight="1">
      <c r="A238" s="1"/>
      <c r="B238" s="1"/>
      <c r="C238" s="103"/>
      <c r="D238" s="102"/>
      <c r="E238" s="102"/>
      <c r="F238" s="102"/>
      <c r="G238" s="102"/>
      <c r="H238" s="102"/>
      <c r="I238" s="102"/>
      <c r="J238" s="102"/>
      <c r="K238" s="2"/>
      <c r="L238" s="255"/>
      <c r="M238" s="255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</row>
    <row r="239" spans="1:25" ht="13.5" customHeight="1">
      <c r="A239" s="1"/>
      <c r="B239" s="1"/>
      <c r="C239" s="103"/>
      <c r="D239" s="102"/>
      <c r="E239" s="102"/>
      <c r="F239" s="102"/>
      <c r="G239" s="102"/>
      <c r="H239" s="102"/>
      <c r="I239" s="102"/>
      <c r="J239" s="102"/>
      <c r="K239" s="2"/>
      <c r="L239" s="255"/>
      <c r="M239" s="255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</row>
    <row r="240" spans="1:25" ht="13.5" customHeight="1">
      <c r="A240" s="1"/>
      <c r="B240" s="1"/>
      <c r="C240" s="103"/>
      <c r="D240" s="102"/>
      <c r="E240" s="102"/>
      <c r="F240" s="102"/>
      <c r="G240" s="102"/>
      <c r="H240" s="102"/>
      <c r="I240" s="102"/>
      <c r="J240" s="102"/>
      <c r="K240" s="2"/>
      <c r="L240" s="255"/>
      <c r="M240" s="255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</row>
    <row r="241" spans="1:25" ht="13.5" customHeight="1">
      <c r="A241" s="1"/>
      <c r="B241" s="1"/>
      <c r="C241" s="103"/>
      <c r="D241" s="102"/>
      <c r="E241" s="102"/>
      <c r="F241" s="102"/>
      <c r="G241" s="102"/>
      <c r="H241" s="102"/>
      <c r="I241" s="102"/>
      <c r="J241" s="102"/>
      <c r="K241" s="2"/>
      <c r="L241" s="255"/>
      <c r="M241" s="255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</row>
    <row r="242" spans="1:25" ht="13.5" customHeight="1">
      <c r="A242" s="1"/>
      <c r="B242" s="1"/>
      <c r="C242" s="103"/>
      <c r="D242" s="102"/>
      <c r="E242" s="102"/>
      <c r="F242" s="102"/>
      <c r="G242" s="102"/>
      <c r="H242" s="102"/>
      <c r="I242" s="102"/>
      <c r="J242" s="102"/>
      <c r="K242" s="2"/>
      <c r="L242" s="255"/>
      <c r="M242" s="255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</row>
    <row r="243" spans="1:25" ht="13.5" customHeight="1">
      <c r="A243" s="1"/>
      <c r="B243" s="1"/>
      <c r="C243" s="103"/>
      <c r="D243" s="102"/>
      <c r="E243" s="102"/>
      <c r="F243" s="102"/>
      <c r="G243" s="102"/>
      <c r="H243" s="102"/>
      <c r="I243" s="102"/>
      <c r="J243" s="102"/>
      <c r="K243" s="2"/>
      <c r="L243" s="255"/>
      <c r="M243" s="255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</row>
    <row r="244" spans="1:25" ht="13.5" customHeight="1">
      <c r="A244" s="1"/>
      <c r="B244" s="1"/>
      <c r="C244" s="103"/>
      <c r="D244" s="102"/>
      <c r="E244" s="102"/>
      <c r="F244" s="102"/>
      <c r="G244" s="102"/>
      <c r="H244" s="102"/>
      <c r="I244" s="102"/>
      <c r="J244" s="102"/>
      <c r="K244" s="2"/>
      <c r="L244" s="255"/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</row>
    <row r="245" spans="1:25" ht="13.5" customHeight="1">
      <c r="A245" s="1"/>
      <c r="B245" s="1"/>
      <c r="C245" s="103"/>
      <c r="D245" s="102"/>
      <c r="E245" s="102"/>
      <c r="F245" s="102"/>
      <c r="G245" s="102"/>
      <c r="H245" s="102"/>
      <c r="I245" s="102"/>
      <c r="J245" s="102"/>
      <c r="K245" s="2"/>
      <c r="L245" s="255"/>
      <c r="M245" s="255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</row>
    <row r="246" spans="1:25" ht="13.5" customHeight="1">
      <c r="A246" s="1"/>
      <c r="B246" s="1"/>
      <c r="C246" s="103"/>
      <c r="D246" s="102"/>
      <c r="E246" s="102"/>
      <c r="F246" s="102"/>
      <c r="G246" s="102"/>
      <c r="H246" s="102"/>
      <c r="I246" s="102"/>
      <c r="J246" s="102"/>
      <c r="K246" s="2"/>
      <c r="L246" s="255"/>
      <c r="M246" s="255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</row>
    <row r="247" spans="1:25" ht="13.5" customHeight="1">
      <c r="A247" s="1"/>
      <c r="B247" s="1"/>
      <c r="C247" s="103"/>
      <c r="D247" s="102"/>
      <c r="E247" s="102"/>
      <c r="F247" s="102"/>
      <c r="G247" s="102"/>
      <c r="H247" s="102"/>
      <c r="I247" s="102"/>
      <c r="J247" s="102"/>
      <c r="K247" s="2"/>
      <c r="L247" s="255"/>
      <c r="M247" s="255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</row>
    <row r="248" spans="1:25" ht="13.5" customHeight="1">
      <c r="A248" s="1"/>
      <c r="B248" s="1"/>
      <c r="C248" s="103"/>
      <c r="D248" s="102"/>
      <c r="E248" s="102"/>
      <c r="F248" s="102"/>
      <c r="G248" s="102"/>
      <c r="H248" s="102"/>
      <c r="I248" s="102"/>
      <c r="J248" s="102"/>
      <c r="K248" s="2"/>
      <c r="L248" s="255"/>
      <c r="M248" s="255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</row>
    <row r="249" spans="1:25" ht="13.5" customHeight="1">
      <c r="A249" s="1"/>
      <c r="B249" s="1"/>
      <c r="C249" s="103"/>
      <c r="D249" s="102"/>
      <c r="E249" s="102"/>
      <c r="F249" s="102"/>
      <c r="G249" s="102"/>
      <c r="H249" s="102"/>
      <c r="I249" s="102"/>
      <c r="J249" s="102"/>
      <c r="K249" s="2"/>
      <c r="L249" s="255"/>
      <c r="M249" s="255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</row>
    <row r="250" spans="1:25" ht="13.5" customHeight="1">
      <c r="A250" s="1"/>
      <c r="B250" s="1"/>
      <c r="C250" s="103"/>
      <c r="D250" s="102"/>
      <c r="E250" s="102"/>
      <c r="F250" s="102"/>
      <c r="G250" s="102"/>
      <c r="H250" s="102"/>
      <c r="I250" s="102"/>
      <c r="J250" s="102"/>
      <c r="K250" s="2"/>
      <c r="L250" s="255"/>
      <c r="M250" s="255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</row>
    <row r="251" spans="1:25" ht="13.5" customHeight="1">
      <c r="A251" s="1"/>
      <c r="B251" s="1"/>
      <c r="C251" s="103"/>
      <c r="D251" s="102"/>
      <c r="E251" s="102"/>
      <c r="F251" s="102"/>
      <c r="G251" s="102"/>
      <c r="H251" s="102"/>
      <c r="I251" s="102"/>
      <c r="J251" s="102"/>
      <c r="K251" s="2"/>
      <c r="L251" s="255"/>
      <c r="M251" s="255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</row>
    <row r="252" spans="1:25" ht="13.5" customHeight="1">
      <c r="A252" s="1"/>
      <c r="B252" s="1"/>
      <c r="C252" s="103"/>
      <c r="D252" s="102"/>
      <c r="E252" s="102"/>
      <c r="F252" s="102"/>
      <c r="G252" s="102"/>
      <c r="H252" s="102"/>
      <c r="I252" s="102"/>
      <c r="J252" s="102"/>
      <c r="K252" s="2"/>
      <c r="L252" s="255"/>
      <c r="M252" s="255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</row>
    <row r="253" spans="1:25" ht="13.5" customHeight="1">
      <c r="A253" s="1"/>
      <c r="B253" s="1"/>
      <c r="C253" s="103"/>
      <c r="D253" s="102"/>
      <c r="E253" s="102"/>
      <c r="F253" s="102"/>
      <c r="G253" s="102"/>
      <c r="H253" s="102"/>
      <c r="I253" s="102"/>
      <c r="J253" s="102"/>
      <c r="K253" s="2"/>
      <c r="L253" s="255"/>
      <c r="M253" s="255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</row>
    <row r="254" spans="1:25" ht="13.5" customHeight="1">
      <c r="A254" s="1"/>
      <c r="B254" s="1"/>
      <c r="C254" s="103"/>
      <c r="D254" s="102"/>
      <c r="E254" s="102"/>
      <c r="F254" s="102"/>
      <c r="G254" s="102"/>
      <c r="H254" s="102"/>
      <c r="I254" s="102"/>
      <c r="J254" s="102"/>
      <c r="K254" s="2"/>
      <c r="L254" s="255"/>
      <c r="M254" s="255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</row>
    <row r="255" spans="1:25" ht="13.5" customHeight="1">
      <c r="A255" s="1"/>
      <c r="B255" s="1"/>
      <c r="C255" s="103"/>
      <c r="D255" s="102"/>
      <c r="E255" s="102"/>
      <c r="F255" s="102"/>
      <c r="G255" s="102"/>
      <c r="H255" s="102"/>
      <c r="I255" s="102"/>
      <c r="J255" s="102"/>
      <c r="K255" s="2"/>
      <c r="L255" s="255"/>
      <c r="M255" s="255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</row>
    <row r="256" spans="1:25" ht="13.5" customHeight="1">
      <c r="A256" s="1"/>
      <c r="B256" s="1"/>
      <c r="C256" s="103"/>
      <c r="D256" s="102"/>
      <c r="E256" s="102"/>
      <c r="F256" s="102"/>
      <c r="G256" s="102"/>
      <c r="H256" s="102"/>
      <c r="I256" s="102"/>
      <c r="J256" s="102"/>
      <c r="K256" s="2"/>
      <c r="L256" s="255"/>
      <c r="M256" s="255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</row>
    <row r="257" spans="1:25" ht="13.5" customHeight="1">
      <c r="A257" s="1"/>
      <c r="B257" s="1"/>
      <c r="C257" s="103"/>
      <c r="D257" s="102"/>
      <c r="E257" s="102"/>
      <c r="F257" s="102"/>
      <c r="G257" s="102"/>
      <c r="H257" s="102"/>
      <c r="I257" s="102"/>
      <c r="J257" s="102"/>
      <c r="K257" s="2"/>
      <c r="L257" s="255"/>
      <c r="M257" s="255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</row>
    <row r="258" spans="1:25" ht="13.5" customHeight="1">
      <c r="A258" s="1"/>
      <c r="B258" s="1"/>
      <c r="C258" s="103"/>
      <c r="D258" s="102"/>
      <c r="E258" s="102"/>
      <c r="F258" s="102"/>
      <c r="G258" s="102"/>
      <c r="H258" s="102"/>
      <c r="I258" s="102"/>
      <c r="J258" s="102"/>
      <c r="K258" s="2"/>
      <c r="L258" s="255"/>
      <c r="M258" s="255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</row>
    <row r="259" spans="1:25" ht="13.5" customHeight="1">
      <c r="A259" s="1"/>
      <c r="B259" s="1"/>
      <c r="C259" s="103"/>
      <c r="D259" s="102"/>
      <c r="E259" s="102"/>
      <c r="F259" s="102"/>
      <c r="G259" s="102"/>
      <c r="H259" s="102"/>
      <c r="I259" s="102"/>
      <c r="J259" s="102"/>
      <c r="K259" s="2"/>
      <c r="L259" s="255"/>
      <c r="M259" s="255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</row>
    <row r="260" spans="1:25" ht="13.5" customHeight="1">
      <c r="A260" s="1"/>
      <c r="B260" s="1"/>
      <c r="C260" s="103"/>
      <c r="D260" s="102"/>
      <c r="E260" s="102"/>
      <c r="F260" s="102"/>
      <c r="G260" s="102"/>
      <c r="H260" s="102"/>
      <c r="I260" s="102"/>
      <c r="J260" s="102"/>
      <c r="K260" s="2"/>
      <c r="L260" s="255"/>
      <c r="M260" s="255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</row>
    <row r="261" spans="1:25" ht="13.5" customHeight="1">
      <c r="A261" s="1"/>
      <c r="B261" s="1"/>
      <c r="C261" s="103"/>
      <c r="D261" s="102"/>
      <c r="E261" s="102"/>
      <c r="F261" s="102"/>
      <c r="G261" s="102"/>
      <c r="H261" s="102"/>
      <c r="I261" s="102"/>
      <c r="J261" s="102"/>
      <c r="K261" s="2"/>
      <c r="L261" s="255"/>
      <c r="M261" s="255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</row>
    <row r="262" spans="1:25" ht="13.5" customHeight="1">
      <c r="A262" s="1"/>
      <c r="B262" s="1"/>
      <c r="C262" s="103"/>
      <c r="D262" s="102"/>
      <c r="E262" s="102"/>
      <c r="F262" s="102"/>
      <c r="G262" s="102"/>
      <c r="H262" s="102"/>
      <c r="I262" s="102"/>
      <c r="J262" s="102"/>
      <c r="K262" s="2"/>
      <c r="L262" s="255"/>
      <c r="M262" s="255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</row>
    <row r="263" spans="1:25" ht="13.5" customHeight="1">
      <c r="A263" s="1"/>
      <c r="B263" s="1"/>
      <c r="C263" s="103"/>
      <c r="D263" s="102"/>
      <c r="E263" s="102"/>
      <c r="F263" s="102"/>
      <c r="G263" s="102"/>
      <c r="H263" s="102"/>
      <c r="I263" s="102"/>
      <c r="J263" s="102"/>
      <c r="K263" s="2"/>
      <c r="L263" s="255"/>
      <c r="M263" s="255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</row>
    <row r="264" spans="1:25" ht="13.5" customHeight="1">
      <c r="A264" s="1"/>
      <c r="B264" s="1"/>
      <c r="C264" s="103"/>
      <c r="D264" s="102"/>
      <c r="E264" s="102"/>
      <c r="F264" s="102"/>
      <c r="G264" s="102"/>
      <c r="H264" s="102"/>
      <c r="I264" s="102"/>
      <c r="J264" s="102"/>
      <c r="K264" s="2"/>
      <c r="L264" s="255"/>
      <c r="M264" s="255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</row>
    <row r="265" spans="1:25" ht="13.5" customHeight="1">
      <c r="A265" s="1"/>
      <c r="B265" s="1"/>
      <c r="C265" s="103"/>
      <c r="D265" s="102"/>
      <c r="E265" s="102"/>
      <c r="F265" s="102"/>
      <c r="G265" s="102"/>
      <c r="H265" s="102"/>
      <c r="I265" s="102"/>
      <c r="J265" s="102"/>
      <c r="K265" s="2"/>
      <c r="L265" s="255"/>
      <c r="M265" s="255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</row>
    <row r="266" spans="1:25" ht="13.5" customHeight="1">
      <c r="A266" s="1"/>
      <c r="B266" s="1"/>
      <c r="C266" s="103"/>
      <c r="D266" s="102"/>
      <c r="E266" s="102"/>
      <c r="F266" s="102"/>
      <c r="G266" s="102"/>
      <c r="H266" s="102"/>
      <c r="I266" s="102"/>
      <c r="J266" s="102"/>
      <c r="K266" s="2"/>
      <c r="L266" s="255"/>
      <c r="M266" s="255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</row>
    <row r="267" spans="1:25" ht="15.75" customHeight="1">
      <c r="A267" s="339"/>
      <c r="B267" s="339"/>
      <c r="C267" s="121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</row>
    <row r="268" spans="1:25" ht="15.75" customHeight="1">
      <c r="A268" s="339"/>
      <c r="B268" s="339"/>
      <c r="C268" s="121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</row>
    <row r="269" spans="1:25" ht="15.75" customHeight="1">
      <c r="A269" s="339"/>
      <c r="B269" s="339"/>
      <c r="C269" s="121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</row>
    <row r="270" spans="1:25" ht="15.75" customHeight="1">
      <c r="A270" s="339"/>
      <c r="B270" s="339"/>
      <c r="C270" s="121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</row>
    <row r="271" spans="1:25" ht="15.75" customHeight="1">
      <c r="A271" s="339"/>
      <c r="B271" s="339"/>
      <c r="C271" s="121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</row>
    <row r="272" spans="1:25" ht="15.75" customHeight="1">
      <c r="A272" s="339"/>
      <c r="B272" s="339"/>
      <c r="C272" s="121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</row>
    <row r="273" spans="3:3" ht="15.75" customHeight="1">
      <c r="C273" s="121"/>
    </row>
    <row r="274" spans="3:3" ht="15.75" customHeight="1">
      <c r="C274" s="121"/>
    </row>
    <row r="275" spans="3:3" ht="15.75" customHeight="1">
      <c r="C275" s="121"/>
    </row>
    <row r="276" spans="3:3" ht="15.75" customHeight="1">
      <c r="C276" s="121"/>
    </row>
    <row r="277" spans="3:3" ht="15.75" customHeight="1">
      <c r="C277" s="121"/>
    </row>
    <row r="278" spans="3:3" ht="15.75" customHeight="1">
      <c r="C278" s="121"/>
    </row>
    <row r="279" spans="3:3" ht="15.75" customHeight="1">
      <c r="C279" s="121"/>
    </row>
    <row r="280" spans="3:3" ht="15.75" customHeight="1">
      <c r="C280" s="121"/>
    </row>
    <row r="281" spans="3:3" ht="15.75" customHeight="1">
      <c r="C281" s="121"/>
    </row>
    <row r="282" spans="3:3" ht="15.75" customHeight="1">
      <c r="C282" s="121"/>
    </row>
    <row r="283" spans="3:3" ht="15.75" customHeight="1">
      <c r="C283" s="121"/>
    </row>
    <row r="284" spans="3:3" ht="15.75" customHeight="1">
      <c r="C284" s="121"/>
    </row>
    <row r="285" spans="3:3" ht="15.75" customHeight="1">
      <c r="C285" s="121"/>
    </row>
    <row r="286" spans="3:3" ht="15.75" customHeight="1">
      <c r="C286" s="121"/>
    </row>
    <row r="287" spans="3:3" ht="15.75" customHeight="1">
      <c r="C287" s="121"/>
    </row>
    <row r="288" spans="3:3" ht="15.75" customHeight="1">
      <c r="C288" s="121"/>
    </row>
    <row r="289" spans="3:3" ht="15.75" customHeight="1">
      <c r="C289" s="121"/>
    </row>
    <row r="290" spans="3:3" ht="15.75" customHeight="1">
      <c r="C290" s="121"/>
    </row>
    <row r="291" spans="3:3" ht="15.75" customHeight="1">
      <c r="C291" s="121"/>
    </row>
    <row r="292" spans="3:3" ht="15.75" customHeight="1">
      <c r="C292" s="121"/>
    </row>
    <row r="293" spans="3:3" ht="15.75" customHeight="1">
      <c r="C293" s="121"/>
    </row>
    <row r="294" spans="3:3" ht="15.75" customHeight="1">
      <c r="C294" s="121"/>
    </row>
    <row r="295" spans="3:3" ht="15.75" customHeight="1">
      <c r="C295" s="121"/>
    </row>
    <row r="296" spans="3:3" ht="15.75" customHeight="1">
      <c r="C296" s="121"/>
    </row>
    <row r="297" spans="3:3" ht="15.75" customHeight="1">
      <c r="C297" s="121"/>
    </row>
    <row r="298" spans="3:3" ht="15.75" customHeight="1">
      <c r="C298" s="121"/>
    </row>
    <row r="299" spans="3:3" ht="15.75" customHeight="1">
      <c r="C299" s="121"/>
    </row>
    <row r="300" spans="3:3" ht="15.75" customHeight="1">
      <c r="C300" s="121"/>
    </row>
    <row r="301" spans="3:3" ht="15.75" customHeight="1">
      <c r="C301" s="121"/>
    </row>
    <row r="302" spans="3:3" ht="15.75" customHeight="1">
      <c r="C302" s="121"/>
    </row>
    <row r="303" spans="3:3" ht="15.75" customHeight="1">
      <c r="C303" s="121"/>
    </row>
    <row r="304" spans="3:3" ht="15.75" customHeight="1">
      <c r="C304" s="121"/>
    </row>
    <row r="305" spans="3:3" ht="15.75" customHeight="1">
      <c r="C305" s="121"/>
    </row>
    <row r="306" spans="3:3" ht="15.75" customHeight="1">
      <c r="C306" s="121"/>
    </row>
    <row r="307" spans="3:3" ht="15.75" customHeight="1">
      <c r="C307" s="121"/>
    </row>
    <row r="308" spans="3:3" ht="15.75" customHeight="1">
      <c r="C308" s="121"/>
    </row>
    <row r="309" spans="3:3" ht="15.75" customHeight="1">
      <c r="C309" s="121"/>
    </row>
    <row r="310" spans="3:3" ht="15.75" customHeight="1">
      <c r="C310" s="121"/>
    </row>
    <row r="311" spans="3:3" ht="15.75" customHeight="1">
      <c r="C311" s="121"/>
    </row>
    <row r="312" spans="3:3" ht="15.75" customHeight="1">
      <c r="C312" s="121"/>
    </row>
    <row r="313" spans="3:3" ht="15.75" customHeight="1">
      <c r="C313" s="121"/>
    </row>
    <row r="314" spans="3:3" ht="15.75" customHeight="1">
      <c r="C314" s="121"/>
    </row>
    <row r="315" spans="3:3" ht="15.75" customHeight="1">
      <c r="C315" s="121"/>
    </row>
    <row r="316" spans="3:3" ht="15.75" customHeight="1">
      <c r="C316" s="121"/>
    </row>
    <row r="317" spans="3:3" ht="15.75" customHeight="1">
      <c r="C317" s="121"/>
    </row>
    <row r="318" spans="3:3" ht="15.75" customHeight="1">
      <c r="C318" s="121"/>
    </row>
    <row r="319" spans="3:3" ht="15.75" customHeight="1">
      <c r="C319" s="121"/>
    </row>
    <row r="320" spans="3:3" ht="15.75" customHeight="1">
      <c r="C320" s="121"/>
    </row>
    <row r="321" spans="3:3" ht="15.75" customHeight="1">
      <c r="C321" s="121"/>
    </row>
    <row r="322" spans="3:3" ht="15.75" customHeight="1">
      <c r="C322" s="121"/>
    </row>
    <row r="323" spans="3:3" ht="15.75" customHeight="1">
      <c r="C323" s="121"/>
    </row>
    <row r="324" spans="3:3" ht="15.75" customHeight="1">
      <c r="C324" s="121"/>
    </row>
    <row r="325" spans="3:3" ht="15.75" customHeight="1">
      <c r="C325" s="121"/>
    </row>
    <row r="326" spans="3:3" ht="15.75" customHeight="1">
      <c r="C326" s="121"/>
    </row>
    <row r="327" spans="3:3" ht="15.75" customHeight="1">
      <c r="C327" s="121"/>
    </row>
    <row r="328" spans="3:3" ht="15.75" customHeight="1">
      <c r="C328" s="121"/>
    </row>
    <row r="329" spans="3:3" ht="15.75" customHeight="1">
      <c r="C329" s="121"/>
    </row>
    <row r="330" spans="3:3" ht="15.75" customHeight="1">
      <c r="C330" s="121"/>
    </row>
    <row r="331" spans="3:3" ht="15.75" customHeight="1">
      <c r="C331" s="121"/>
    </row>
    <row r="332" spans="3:3" ht="15.75" customHeight="1">
      <c r="C332" s="121"/>
    </row>
    <row r="333" spans="3:3" ht="15.75" customHeight="1">
      <c r="C333" s="121"/>
    </row>
    <row r="334" spans="3:3" ht="15.75" customHeight="1">
      <c r="C334" s="121"/>
    </row>
    <row r="335" spans="3:3" ht="15.75" customHeight="1">
      <c r="C335" s="121"/>
    </row>
    <row r="336" spans="3:3" ht="15.75" customHeight="1">
      <c r="C336" s="121"/>
    </row>
    <row r="337" spans="3:3" ht="15.75" customHeight="1">
      <c r="C337" s="121"/>
    </row>
    <row r="338" spans="3:3" ht="15.75" customHeight="1">
      <c r="C338" s="121"/>
    </row>
    <row r="339" spans="3:3" ht="15.75" customHeight="1">
      <c r="C339" s="121"/>
    </row>
    <row r="340" spans="3:3" ht="15.75" customHeight="1">
      <c r="C340" s="121"/>
    </row>
    <row r="341" spans="3:3" ht="15.75" customHeight="1">
      <c r="C341" s="121"/>
    </row>
    <row r="342" spans="3:3" ht="15.75" customHeight="1">
      <c r="C342" s="121"/>
    </row>
    <row r="343" spans="3:3" ht="15.75" customHeight="1">
      <c r="C343" s="121"/>
    </row>
    <row r="344" spans="3:3" ht="15.75" customHeight="1">
      <c r="C344" s="121"/>
    </row>
    <row r="345" spans="3:3" ht="15.75" customHeight="1">
      <c r="C345" s="121"/>
    </row>
    <row r="346" spans="3:3" ht="15.75" customHeight="1">
      <c r="C346" s="121"/>
    </row>
    <row r="347" spans="3:3" ht="15.75" customHeight="1">
      <c r="C347" s="121"/>
    </row>
    <row r="348" spans="3:3" ht="15.75" customHeight="1">
      <c r="C348" s="121"/>
    </row>
    <row r="349" spans="3:3" ht="15.75" customHeight="1">
      <c r="C349" s="121"/>
    </row>
    <row r="350" spans="3:3" ht="15.75" customHeight="1">
      <c r="C350" s="121"/>
    </row>
    <row r="351" spans="3:3" ht="15.75" customHeight="1">
      <c r="C351" s="121"/>
    </row>
    <row r="352" spans="3:3" ht="15.75" customHeight="1">
      <c r="C352" s="121"/>
    </row>
    <row r="353" spans="3:3" ht="15.75" customHeight="1">
      <c r="C353" s="121"/>
    </row>
    <row r="354" spans="3:3" ht="15.75" customHeight="1">
      <c r="C354" s="121"/>
    </row>
    <row r="355" spans="3:3" ht="15.75" customHeight="1">
      <c r="C355" s="121"/>
    </row>
    <row r="356" spans="3:3" ht="15.75" customHeight="1">
      <c r="C356" s="121"/>
    </row>
    <row r="357" spans="3:3" ht="15.75" customHeight="1">
      <c r="C357" s="121"/>
    </row>
    <row r="358" spans="3:3" ht="15.75" customHeight="1">
      <c r="C358" s="121"/>
    </row>
    <row r="359" spans="3:3" ht="15.75" customHeight="1">
      <c r="C359" s="121"/>
    </row>
    <row r="360" spans="3:3" ht="15.75" customHeight="1">
      <c r="C360" s="121"/>
    </row>
    <row r="361" spans="3:3" ht="15.75" customHeight="1">
      <c r="C361" s="121"/>
    </row>
    <row r="362" spans="3:3" ht="15.75" customHeight="1">
      <c r="C362" s="121"/>
    </row>
    <row r="363" spans="3:3" ht="15.75" customHeight="1">
      <c r="C363" s="121"/>
    </row>
    <row r="364" spans="3:3" ht="15.75" customHeight="1">
      <c r="C364" s="121"/>
    </row>
    <row r="365" spans="3:3" ht="15.75" customHeight="1">
      <c r="C365" s="121"/>
    </row>
    <row r="366" spans="3:3" ht="15.75" customHeight="1">
      <c r="C366" s="121"/>
    </row>
    <row r="367" spans="3:3" ht="15.75" customHeight="1">
      <c r="C367" s="121"/>
    </row>
    <row r="368" spans="3:3" ht="15.75" customHeight="1">
      <c r="C368" s="121"/>
    </row>
    <row r="369" spans="3:3" ht="15.75" customHeight="1">
      <c r="C369" s="121"/>
    </row>
    <row r="370" spans="3:3" ht="15.75" customHeight="1">
      <c r="C370" s="121"/>
    </row>
    <row r="371" spans="3:3" ht="15.75" customHeight="1">
      <c r="C371" s="121"/>
    </row>
    <row r="372" spans="3:3" ht="15.75" customHeight="1">
      <c r="C372" s="121"/>
    </row>
    <row r="373" spans="3:3" ht="15.75" customHeight="1">
      <c r="C373" s="121"/>
    </row>
    <row r="374" spans="3:3" ht="15.75" customHeight="1">
      <c r="C374" s="121"/>
    </row>
    <row r="375" spans="3:3" ht="15.75" customHeight="1">
      <c r="C375" s="121"/>
    </row>
    <row r="376" spans="3:3" ht="15.75" customHeight="1">
      <c r="C376" s="121"/>
    </row>
    <row r="377" spans="3:3" ht="15.75" customHeight="1">
      <c r="C377" s="121"/>
    </row>
    <row r="378" spans="3:3" ht="15.75" customHeight="1">
      <c r="C378" s="121"/>
    </row>
    <row r="379" spans="3:3" ht="15.75" customHeight="1">
      <c r="C379" s="121"/>
    </row>
    <row r="380" spans="3:3" ht="15.75" customHeight="1">
      <c r="C380" s="121"/>
    </row>
    <row r="381" spans="3:3" ht="15.75" customHeight="1">
      <c r="C381" s="121"/>
    </row>
    <row r="382" spans="3:3" ht="15.75" customHeight="1">
      <c r="C382" s="121"/>
    </row>
    <row r="383" spans="3:3" ht="15.75" customHeight="1">
      <c r="C383" s="121"/>
    </row>
    <row r="384" spans="3:3" ht="15.75" customHeight="1">
      <c r="C384" s="121"/>
    </row>
    <row r="385" spans="3:3" ht="15.75" customHeight="1">
      <c r="C385" s="121"/>
    </row>
    <row r="386" spans="3:3" ht="15.75" customHeight="1">
      <c r="C386" s="121"/>
    </row>
    <row r="387" spans="3:3" ht="15.75" customHeight="1">
      <c r="C387" s="121"/>
    </row>
    <row r="388" spans="3:3" ht="15.75" customHeight="1">
      <c r="C388" s="121"/>
    </row>
    <row r="389" spans="3:3" ht="15.75" customHeight="1">
      <c r="C389" s="121"/>
    </row>
    <row r="390" spans="3:3" ht="15.75" customHeight="1">
      <c r="C390" s="121"/>
    </row>
    <row r="391" spans="3:3" ht="15.75" customHeight="1">
      <c r="C391" s="121"/>
    </row>
    <row r="392" spans="3:3" ht="15.75" customHeight="1">
      <c r="C392" s="121"/>
    </row>
    <row r="393" spans="3:3" ht="15.75" customHeight="1">
      <c r="C393" s="121"/>
    </row>
    <row r="394" spans="3:3" ht="15.75" customHeight="1">
      <c r="C394" s="121"/>
    </row>
    <row r="395" spans="3:3" ht="15.75" customHeight="1">
      <c r="C395" s="121"/>
    </row>
    <row r="396" spans="3:3" ht="15.75" customHeight="1">
      <c r="C396" s="121"/>
    </row>
    <row r="397" spans="3:3" ht="15.75" customHeight="1">
      <c r="C397" s="121"/>
    </row>
    <row r="398" spans="3:3" ht="15.75" customHeight="1">
      <c r="C398" s="121"/>
    </row>
    <row r="399" spans="3:3" ht="15.75" customHeight="1">
      <c r="C399" s="121"/>
    </row>
    <row r="400" spans="3:3" ht="15.75" customHeight="1">
      <c r="C400" s="121"/>
    </row>
    <row r="401" spans="3:3" ht="15.75" customHeight="1">
      <c r="C401" s="121"/>
    </row>
    <row r="402" spans="3:3" ht="15.75" customHeight="1">
      <c r="C402" s="121"/>
    </row>
    <row r="403" spans="3:3" ht="15.75" customHeight="1">
      <c r="C403" s="121"/>
    </row>
    <row r="404" spans="3:3" ht="15.75" customHeight="1">
      <c r="C404" s="121"/>
    </row>
    <row r="405" spans="3:3" ht="15.75" customHeight="1">
      <c r="C405" s="121"/>
    </row>
    <row r="406" spans="3:3" ht="15.75" customHeight="1">
      <c r="C406" s="121"/>
    </row>
    <row r="407" spans="3:3" ht="15.75" customHeight="1">
      <c r="C407" s="121"/>
    </row>
    <row r="408" spans="3:3" ht="15.75" customHeight="1">
      <c r="C408" s="121"/>
    </row>
    <row r="409" spans="3:3" ht="15.75" customHeight="1">
      <c r="C409" s="121"/>
    </row>
    <row r="410" spans="3:3" ht="15.75" customHeight="1">
      <c r="C410" s="121"/>
    </row>
    <row r="411" spans="3:3" ht="15.75" customHeight="1">
      <c r="C411" s="121"/>
    </row>
    <row r="412" spans="3:3" ht="15.75" customHeight="1">
      <c r="C412" s="121"/>
    </row>
    <row r="413" spans="3:3" ht="15.75" customHeight="1">
      <c r="C413" s="121"/>
    </row>
    <row r="414" spans="3:3" ht="15.75" customHeight="1">
      <c r="C414" s="121"/>
    </row>
    <row r="415" spans="3:3" ht="15.75" customHeight="1">
      <c r="C415" s="121"/>
    </row>
    <row r="416" spans="3:3" ht="15.75" customHeight="1">
      <c r="C416" s="121"/>
    </row>
    <row r="417" spans="3:3" ht="15.75" customHeight="1">
      <c r="C417" s="121"/>
    </row>
    <row r="418" spans="3:3" ht="15.75" customHeight="1">
      <c r="C418" s="121"/>
    </row>
    <row r="419" spans="3:3" ht="15.75" customHeight="1">
      <c r="C419" s="121"/>
    </row>
    <row r="420" spans="3:3" ht="15.75" customHeight="1">
      <c r="C420" s="121"/>
    </row>
    <row r="421" spans="3:3" ht="15.75" customHeight="1">
      <c r="C421" s="121"/>
    </row>
    <row r="422" spans="3:3" ht="15.75" customHeight="1">
      <c r="C422" s="121"/>
    </row>
    <row r="423" spans="3:3" ht="15.75" customHeight="1">
      <c r="C423" s="121"/>
    </row>
    <row r="424" spans="3:3" ht="15.75" customHeight="1">
      <c r="C424" s="121"/>
    </row>
    <row r="425" spans="3:3" ht="15.75" customHeight="1">
      <c r="C425" s="121"/>
    </row>
    <row r="426" spans="3:3" ht="15.75" customHeight="1">
      <c r="C426" s="121"/>
    </row>
    <row r="427" spans="3:3" ht="15.75" customHeight="1">
      <c r="C427" s="121"/>
    </row>
    <row r="428" spans="3:3" ht="15.75" customHeight="1">
      <c r="C428" s="121"/>
    </row>
    <row r="429" spans="3:3" ht="15.75" customHeight="1">
      <c r="C429" s="121"/>
    </row>
    <row r="430" spans="3:3" ht="15.75" customHeight="1">
      <c r="C430" s="121"/>
    </row>
    <row r="431" spans="3:3" ht="15.75" customHeight="1">
      <c r="C431" s="121"/>
    </row>
    <row r="432" spans="3:3" ht="15.75" customHeight="1">
      <c r="C432" s="121"/>
    </row>
    <row r="433" spans="3:3" ht="15.75" customHeight="1">
      <c r="C433" s="121"/>
    </row>
    <row r="434" spans="3:3" ht="15.75" customHeight="1">
      <c r="C434" s="121"/>
    </row>
    <row r="435" spans="3:3" ht="15.75" customHeight="1">
      <c r="C435" s="121"/>
    </row>
    <row r="436" spans="3:3" ht="15.75" customHeight="1">
      <c r="C436" s="121"/>
    </row>
    <row r="437" spans="3:3" ht="15.75" customHeight="1">
      <c r="C437" s="121"/>
    </row>
    <row r="438" spans="3:3" ht="15.75" customHeight="1">
      <c r="C438" s="121"/>
    </row>
    <row r="439" spans="3:3" ht="15.75" customHeight="1">
      <c r="C439" s="121"/>
    </row>
    <row r="440" spans="3:3" ht="15.75" customHeight="1">
      <c r="C440" s="121"/>
    </row>
    <row r="441" spans="3:3" ht="15.75" customHeight="1">
      <c r="C441" s="121"/>
    </row>
    <row r="442" spans="3:3" ht="15.75" customHeight="1">
      <c r="C442" s="121"/>
    </row>
    <row r="443" spans="3:3" ht="15.75" customHeight="1">
      <c r="C443" s="121"/>
    </row>
    <row r="444" spans="3:3" ht="15.75" customHeight="1">
      <c r="C444" s="121"/>
    </row>
    <row r="445" spans="3:3" ht="15.75" customHeight="1">
      <c r="C445" s="121"/>
    </row>
    <row r="446" spans="3:3" ht="15.75" customHeight="1">
      <c r="C446" s="121"/>
    </row>
    <row r="447" spans="3:3" ht="15.75" customHeight="1">
      <c r="C447" s="121"/>
    </row>
    <row r="448" spans="3:3" ht="15.75" customHeight="1">
      <c r="C448" s="121"/>
    </row>
    <row r="449" spans="3:3" ht="15.75" customHeight="1">
      <c r="C449" s="121"/>
    </row>
    <row r="450" spans="3:3" ht="15.75" customHeight="1">
      <c r="C450" s="121"/>
    </row>
    <row r="451" spans="3:3" ht="15.75" customHeight="1">
      <c r="C451" s="121"/>
    </row>
    <row r="452" spans="3:3" ht="15.75" customHeight="1">
      <c r="C452" s="121"/>
    </row>
    <row r="453" spans="3:3" ht="15.75" customHeight="1">
      <c r="C453" s="121"/>
    </row>
    <row r="454" spans="3:3" ht="15.75" customHeight="1">
      <c r="C454" s="121"/>
    </row>
    <row r="455" spans="3:3" ht="15.75" customHeight="1">
      <c r="C455" s="121"/>
    </row>
    <row r="456" spans="3:3" ht="15.75" customHeight="1">
      <c r="C456" s="121"/>
    </row>
    <row r="457" spans="3:3" ht="15.75" customHeight="1">
      <c r="C457" s="121"/>
    </row>
    <row r="458" spans="3:3" ht="15.75" customHeight="1">
      <c r="C458" s="121"/>
    </row>
    <row r="459" spans="3:3" ht="15.75" customHeight="1">
      <c r="C459" s="121"/>
    </row>
    <row r="460" spans="3:3" ht="15.75" customHeight="1">
      <c r="C460" s="121"/>
    </row>
    <row r="461" spans="3:3" ht="15.75" customHeight="1">
      <c r="C461" s="121"/>
    </row>
    <row r="462" spans="3:3" ht="15.75" customHeight="1">
      <c r="C462" s="121"/>
    </row>
    <row r="463" spans="3:3" ht="15.75" customHeight="1">
      <c r="C463" s="121"/>
    </row>
    <row r="464" spans="3:3" ht="15.75" customHeight="1">
      <c r="C464" s="121"/>
    </row>
    <row r="465" spans="3:3" ht="15.75" customHeight="1">
      <c r="C465" s="121"/>
    </row>
    <row r="466" spans="3:3" ht="15.75" customHeight="1">
      <c r="C466" s="121"/>
    </row>
    <row r="467" spans="3:3" ht="15.75" customHeight="1">
      <c r="C467" s="121"/>
    </row>
    <row r="468" spans="3:3" ht="15.75" customHeight="1">
      <c r="C468" s="121"/>
    </row>
    <row r="469" spans="3:3" ht="15.75" customHeight="1">
      <c r="C469" s="121"/>
    </row>
    <row r="470" spans="3:3" ht="15.75" customHeight="1">
      <c r="C470" s="121"/>
    </row>
    <row r="471" spans="3:3" ht="15.75" customHeight="1">
      <c r="C471" s="121"/>
    </row>
    <row r="472" spans="3:3" ht="15.75" customHeight="1">
      <c r="C472" s="121"/>
    </row>
    <row r="473" spans="3:3" ht="15.75" customHeight="1">
      <c r="C473" s="121"/>
    </row>
    <row r="474" spans="3:3" ht="15.75" customHeight="1">
      <c r="C474" s="121"/>
    </row>
    <row r="475" spans="3:3" ht="15.75" customHeight="1">
      <c r="C475" s="121"/>
    </row>
    <row r="476" spans="3:3" ht="15.75" customHeight="1">
      <c r="C476" s="121"/>
    </row>
    <row r="477" spans="3:3" ht="15.75" customHeight="1">
      <c r="C477" s="121"/>
    </row>
    <row r="478" spans="3:3" ht="15.75" customHeight="1">
      <c r="C478" s="121"/>
    </row>
    <row r="479" spans="3:3" ht="15.75" customHeight="1">
      <c r="C479" s="121"/>
    </row>
    <row r="480" spans="3:3" ht="15.75" customHeight="1">
      <c r="C480" s="121"/>
    </row>
    <row r="481" spans="3:3" ht="15.75" customHeight="1">
      <c r="C481" s="121"/>
    </row>
    <row r="482" spans="3:3" ht="15.75" customHeight="1">
      <c r="C482" s="121"/>
    </row>
    <row r="483" spans="3:3" ht="15.75" customHeight="1">
      <c r="C483" s="121"/>
    </row>
    <row r="484" spans="3:3" ht="15.75" customHeight="1">
      <c r="C484" s="121"/>
    </row>
    <row r="485" spans="3:3" ht="15.75" customHeight="1">
      <c r="C485" s="121"/>
    </row>
    <row r="486" spans="3:3" ht="15.75" customHeight="1">
      <c r="C486" s="121"/>
    </row>
    <row r="487" spans="3:3" ht="15.75" customHeight="1">
      <c r="C487" s="121"/>
    </row>
    <row r="488" spans="3:3" ht="15.75" customHeight="1">
      <c r="C488" s="121"/>
    </row>
    <row r="489" spans="3:3" ht="15.75" customHeight="1">
      <c r="C489" s="121"/>
    </row>
    <row r="490" spans="3:3" ht="15.75" customHeight="1">
      <c r="C490" s="121"/>
    </row>
    <row r="491" spans="3:3" ht="15.75" customHeight="1">
      <c r="C491" s="121"/>
    </row>
    <row r="492" spans="3:3" ht="15.75" customHeight="1">
      <c r="C492" s="121"/>
    </row>
    <row r="493" spans="3:3" ht="15.75" customHeight="1">
      <c r="C493" s="121"/>
    </row>
    <row r="494" spans="3:3" ht="15.75" customHeight="1">
      <c r="C494" s="121"/>
    </row>
    <row r="495" spans="3:3" ht="15.75" customHeight="1">
      <c r="C495" s="121"/>
    </row>
    <row r="496" spans="3:3" ht="15.75" customHeight="1">
      <c r="C496" s="121"/>
    </row>
    <row r="497" spans="3:3" ht="15.75" customHeight="1">
      <c r="C497" s="121"/>
    </row>
    <row r="498" spans="3:3" ht="15.75" customHeight="1">
      <c r="C498" s="121"/>
    </row>
    <row r="499" spans="3:3" ht="15.75" customHeight="1">
      <c r="C499" s="121"/>
    </row>
    <row r="500" spans="3:3" ht="15.75" customHeight="1">
      <c r="C500" s="121"/>
    </row>
    <row r="501" spans="3:3" ht="15.75" customHeight="1">
      <c r="C501" s="121"/>
    </row>
    <row r="502" spans="3:3" ht="15.75" customHeight="1">
      <c r="C502" s="121"/>
    </row>
    <row r="503" spans="3:3" ht="15.75" customHeight="1">
      <c r="C503" s="121"/>
    </row>
    <row r="504" spans="3:3" ht="15.75" customHeight="1">
      <c r="C504" s="121"/>
    </row>
    <row r="505" spans="3:3" ht="15.75" customHeight="1">
      <c r="C505" s="121"/>
    </row>
    <row r="506" spans="3:3" ht="15.75" customHeight="1">
      <c r="C506" s="121"/>
    </row>
    <row r="507" spans="3:3" ht="15.75" customHeight="1">
      <c r="C507" s="121"/>
    </row>
    <row r="508" spans="3:3" ht="15.75" customHeight="1">
      <c r="C508" s="121"/>
    </row>
    <row r="509" spans="3:3" ht="15.75" customHeight="1">
      <c r="C509" s="121"/>
    </row>
    <row r="510" spans="3:3" ht="15.75" customHeight="1">
      <c r="C510" s="121"/>
    </row>
    <row r="511" spans="3:3" ht="15.75" customHeight="1">
      <c r="C511" s="121"/>
    </row>
    <row r="512" spans="3:3" ht="15.75" customHeight="1">
      <c r="C512" s="121"/>
    </row>
    <row r="513" spans="3:3" ht="15.75" customHeight="1">
      <c r="C513" s="121"/>
    </row>
    <row r="514" spans="3:3" ht="15.75" customHeight="1">
      <c r="C514" s="121"/>
    </row>
    <row r="515" spans="3:3" ht="15.75" customHeight="1">
      <c r="C515" s="121"/>
    </row>
    <row r="516" spans="3:3" ht="15.75" customHeight="1">
      <c r="C516" s="121"/>
    </row>
    <row r="517" spans="3:3" ht="15.75" customHeight="1">
      <c r="C517" s="121"/>
    </row>
    <row r="518" spans="3:3" ht="15.75" customHeight="1">
      <c r="C518" s="121"/>
    </row>
    <row r="519" spans="3:3" ht="15.75" customHeight="1">
      <c r="C519" s="121"/>
    </row>
    <row r="520" spans="3:3" ht="15.75" customHeight="1">
      <c r="C520" s="121"/>
    </row>
    <row r="521" spans="3:3" ht="15.75" customHeight="1">
      <c r="C521" s="121"/>
    </row>
    <row r="522" spans="3:3" ht="15.75" customHeight="1">
      <c r="C522" s="121"/>
    </row>
    <row r="523" spans="3:3" ht="15.75" customHeight="1">
      <c r="C523" s="121"/>
    </row>
    <row r="524" spans="3:3" ht="15.75" customHeight="1">
      <c r="C524" s="121"/>
    </row>
    <row r="525" spans="3:3" ht="15.75" customHeight="1">
      <c r="C525" s="121"/>
    </row>
    <row r="526" spans="3:3" ht="15.75" customHeight="1">
      <c r="C526" s="121"/>
    </row>
    <row r="527" spans="3:3" ht="15.75" customHeight="1">
      <c r="C527" s="121"/>
    </row>
    <row r="528" spans="3:3" ht="15.75" customHeight="1">
      <c r="C528" s="121"/>
    </row>
    <row r="529" spans="3:3" ht="15.75" customHeight="1">
      <c r="C529" s="121"/>
    </row>
    <row r="530" spans="3:3" ht="15.75" customHeight="1">
      <c r="C530" s="121"/>
    </row>
    <row r="531" spans="3:3" ht="15.75" customHeight="1">
      <c r="C531" s="121"/>
    </row>
    <row r="532" spans="3:3" ht="15.75" customHeight="1">
      <c r="C532" s="121"/>
    </row>
    <row r="533" spans="3:3" ht="15.75" customHeight="1">
      <c r="C533" s="121"/>
    </row>
    <row r="534" spans="3:3" ht="15.75" customHeight="1">
      <c r="C534" s="121"/>
    </row>
    <row r="535" spans="3:3" ht="15.75" customHeight="1">
      <c r="C535" s="121"/>
    </row>
    <row r="536" spans="3:3" ht="15.75" customHeight="1">
      <c r="C536" s="121"/>
    </row>
    <row r="537" spans="3:3" ht="15.75" customHeight="1">
      <c r="C537" s="121"/>
    </row>
    <row r="538" spans="3:3" ht="15.75" customHeight="1">
      <c r="C538" s="121"/>
    </row>
    <row r="539" spans="3:3" ht="15.75" customHeight="1">
      <c r="C539" s="121"/>
    </row>
    <row r="540" spans="3:3" ht="15.75" customHeight="1">
      <c r="C540" s="121"/>
    </row>
    <row r="541" spans="3:3" ht="15.75" customHeight="1">
      <c r="C541" s="121"/>
    </row>
    <row r="542" spans="3:3" ht="15.75" customHeight="1">
      <c r="C542" s="121"/>
    </row>
    <row r="543" spans="3:3" ht="15.75" customHeight="1">
      <c r="C543" s="121"/>
    </row>
    <row r="544" spans="3:3" ht="15.75" customHeight="1">
      <c r="C544" s="121"/>
    </row>
    <row r="545" spans="3:3" ht="15.75" customHeight="1">
      <c r="C545" s="121"/>
    </row>
    <row r="546" spans="3:3" ht="15.75" customHeight="1">
      <c r="C546" s="121"/>
    </row>
    <row r="547" spans="3:3" ht="15.75" customHeight="1">
      <c r="C547" s="121"/>
    </row>
    <row r="548" spans="3:3" ht="15.75" customHeight="1">
      <c r="C548" s="121"/>
    </row>
    <row r="549" spans="3:3" ht="15.75" customHeight="1">
      <c r="C549" s="121"/>
    </row>
    <row r="550" spans="3:3" ht="15.75" customHeight="1">
      <c r="C550" s="121"/>
    </row>
    <row r="551" spans="3:3" ht="15.75" customHeight="1">
      <c r="C551" s="121"/>
    </row>
    <row r="552" spans="3:3" ht="15.75" customHeight="1">
      <c r="C552" s="121"/>
    </row>
    <row r="553" spans="3:3" ht="15.75" customHeight="1">
      <c r="C553" s="121"/>
    </row>
    <row r="554" spans="3:3" ht="15.75" customHeight="1">
      <c r="C554" s="121"/>
    </row>
    <row r="555" spans="3:3" ht="15.75" customHeight="1">
      <c r="C555" s="121"/>
    </row>
    <row r="556" spans="3:3" ht="15.75" customHeight="1">
      <c r="C556" s="121"/>
    </row>
    <row r="557" spans="3:3" ht="15.75" customHeight="1">
      <c r="C557" s="121"/>
    </row>
    <row r="558" spans="3:3" ht="15.75" customHeight="1">
      <c r="C558" s="121"/>
    </row>
    <row r="559" spans="3:3" ht="15.75" customHeight="1">
      <c r="C559" s="121"/>
    </row>
    <row r="560" spans="3:3" ht="15.75" customHeight="1">
      <c r="C560" s="121"/>
    </row>
    <row r="561" spans="3:3" ht="15.75" customHeight="1">
      <c r="C561" s="121"/>
    </row>
    <row r="562" spans="3:3" ht="15.75" customHeight="1">
      <c r="C562" s="121"/>
    </row>
    <row r="563" spans="3:3" ht="15.75" customHeight="1">
      <c r="C563" s="121"/>
    </row>
    <row r="564" spans="3:3" ht="15.75" customHeight="1">
      <c r="C564" s="121"/>
    </row>
    <row r="565" spans="3:3" ht="15.75" customHeight="1">
      <c r="C565" s="121"/>
    </row>
    <row r="566" spans="3:3" ht="15.75" customHeight="1">
      <c r="C566" s="121"/>
    </row>
    <row r="567" spans="3:3" ht="15.75" customHeight="1">
      <c r="C567" s="121"/>
    </row>
    <row r="568" spans="3:3" ht="15.75" customHeight="1">
      <c r="C568" s="121"/>
    </row>
    <row r="569" spans="3:3" ht="15.75" customHeight="1">
      <c r="C569" s="121"/>
    </row>
    <row r="570" spans="3:3" ht="15.75" customHeight="1">
      <c r="C570" s="121"/>
    </row>
    <row r="571" spans="3:3" ht="15.75" customHeight="1">
      <c r="C571" s="121"/>
    </row>
    <row r="572" spans="3:3" ht="15.75" customHeight="1">
      <c r="C572" s="121"/>
    </row>
    <row r="573" spans="3:3" ht="15.75" customHeight="1">
      <c r="C573" s="121"/>
    </row>
    <row r="574" spans="3:3" ht="15.75" customHeight="1">
      <c r="C574" s="121"/>
    </row>
    <row r="575" spans="3:3" ht="15.75" customHeight="1">
      <c r="C575" s="121"/>
    </row>
    <row r="576" spans="3:3" ht="15.75" customHeight="1">
      <c r="C576" s="121"/>
    </row>
    <row r="577" spans="3:3" ht="15.75" customHeight="1">
      <c r="C577" s="121"/>
    </row>
    <row r="578" spans="3:3" ht="15.75" customHeight="1">
      <c r="C578" s="121"/>
    </row>
    <row r="579" spans="3:3" ht="15.75" customHeight="1">
      <c r="C579" s="121"/>
    </row>
    <row r="580" spans="3:3" ht="15.75" customHeight="1">
      <c r="C580" s="121"/>
    </row>
    <row r="581" spans="3:3" ht="15.75" customHeight="1">
      <c r="C581" s="121"/>
    </row>
    <row r="582" spans="3:3" ht="15.75" customHeight="1">
      <c r="C582" s="121"/>
    </row>
    <row r="583" spans="3:3" ht="15.75" customHeight="1">
      <c r="C583" s="121"/>
    </row>
    <row r="584" spans="3:3" ht="15.75" customHeight="1">
      <c r="C584" s="121"/>
    </row>
    <row r="585" spans="3:3" ht="15.75" customHeight="1">
      <c r="C585" s="121"/>
    </row>
    <row r="586" spans="3:3" ht="15.75" customHeight="1">
      <c r="C586" s="121"/>
    </row>
    <row r="587" spans="3:3" ht="15.75" customHeight="1">
      <c r="C587" s="121"/>
    </row>
    <row r="588" spans="3:3" ht="15.75" customHeight="1">
      <c r="C588" s="121"/>
    </row>
    <row r="589" spans="3:3" ht="15.75" customHeight="1">
      <c r="C589" s="121"/>
    </row>
    <row r="590" spans="3:3" ht="15.75" customHeight="1">
      <c r="C590" s="121"/>
    </row>
    <row r="591" spans="3:3" ht="15.75" customHeight="1">
      <c r="C591" s="121"/>
    </row>
    <row r="592" spans="3:3" ht="15.75" customHeight="1">
      <c r="C592" s="121"/>
    </row>
    <row r="593" spans="3:3" ht="15.75" customHeight="1">
      <c r="C593" s="121"/>
    </row>
    <row r="594" spans="3:3" ht="15.75" customHeight="1">
      <c r="C594" s="121"/>
    </row>
    <row r="595" spans="3:3" ht="15.75" customHeight="1">
      <c r="C595" s="121"/>
    </row>
    <row r="596" spans="3:3" ht="15.75" customHeight="1">
      <c r="C596" s="121"/>
    </row>
    <row r="597" spans="3:3" ht="15.75" customHeight="1">
      <c r="C597" s="121"/>
    </row>
    <row r="598" spans="3:3" ht="15.75" customHeight="1">
      <c r="C598" s="121"/>
    </row>
    <row r="599" spans="3:3" ht="15.75" customHeight="1">
      <c r="C599" s="121"/>
    </row>
    <row r="600" spans="3:3" ht="15.75" customHeight="1">
      <c r="C600" s="121"/>
    </row>
    <row r="601" spans="3:3" ht="15.75" customHeight="1">
      <c r="C601" s="121"/>
    </row>
    <row r="602" spans="3:3" ht="15.75" customHeight="1">
      <c r="C602" s="121"/>
    </row>
    <row r="603" spans="3:3" ht="15.75" customHeight="1">
      <c r="C603" s="121"/>
    </row>
    <row r="604" spans="3:3" ht="15.75" customHeight="1">
      <c r="C604" s="121"/>
    </row>
    <row r="605" spans="3:3" ht="15.75" customHeight="1">
      <c r="C605" s="121"/>
    </row>
    <row r="606" spans="3:3" ht="15.75" customHeight="1">
      <c r="C606" s="121"/>
    </row>
    <row r="607" spans="3:3" ht="15.75" customHeight="1">
      <c r="C607" s="121"/>
    </row>
    <row r="608" spans="3:3" ht="15.75" customHeight="1">
      <c r="C608" s="121"/>
    </row>
    <row r="609" spans="3:3" ht="15.75" customHeight="1">
      <c r="C609" s="121"/>
    </row>
    <row r="610" spans="3:3" ht="15.75" customHeight="1">
      <c r="C610" s="121"/>
    </row>
    <row r="611" spans="3:3" ht="15.75" customHeight="1">
      <c r="C611" s="121"/>
    </row>
    <row r="612" spans="3:3" ht="15.75" customHeight="1">
      <c r="C612" s="121"/>
    </row>
    <row r="613" spans="3:3" ht="15.75" customHeight="1">
      <c r="C613" s="121"/>
    </row>
    <row r="614" spans="3:3" ht="15.75" customHeight="1">
      <c r="C614" s="121"/>
    </row>
    <row r="615" spans="3:3" ht="15.75" customHeight="1">
      <c r="C615" s="121"/>
    </row>
    <row r="616" spans="3:3" ht="15.75" customHeight="1">
      <c r="C616" s="121"/>
    </row>
    <row r="617" spans="3:3" ht="15.75" customHeight="1">
      <c r="C617" s="121"/>
    </row>
    <row r="618" spans="3:3" ht="15.75" customHeight="1">
      <c r="C618" s="121"/>
    </row>
    <row r="619" spans="3:3" ht="15.75" customHeight="1">
      <c r="C619" s="121"/>
    </row>
    <row r="620" spans="3:3" ht="15.75" customHeight="1">
      <c r="C620" s="121"/>
    </row>
    <row r="621" spans="3:3" ht="15.75" customHeight="1">
      <c r="C621" s="121"/>
    </row>
    <row r="622" spans="3:3" ht="15.75" customHeight="1">
      <c r="C622" s="121"/>
    </row>
    <row r="623" spans="3:3" ht="15.75" customHeight="1">
      <c r="C623" s="121"/>
    </row>
    <row r="624" spans="3:3" ht="15.75" customHeight="1">
      <c r="C624" s="121"/>
    </row>
    <row r="625" spans="3:3" ht="15.75" customHeight="1">
      <c r="C625" s="121"/>
    </row>
    <row r="626" spans="3:3" ht="15.75" customHeight="1">
      <c r="C626" s="121"/>
    </row>
    <row r="627" spans="3:3" ht="15.75" customHeight="1">
      <c r="C627" s="121"/>
    </row>
    <row r="628" spans="3:3" ht="15.75" customHeight="1">
      <c r="C628" s="121"/>
    </row>
    <row r="629" spans="3:3" ht="15.75" customHeight="1">
      <c r="C629" s="121"/>
    </row>
    <row r="630" spans="3:3" ht="15.75" customHeight="1">
      <c r="C630" s="121"/>
    </row>
    <row r="631" spans="3:3" ht="15.75" customHeight="1">
      <c r="C631" s="121"/>
    </row>
    <row r="632" spans="3:3" ht="15.75" customHeight="1">
      <c r="C632" s="121"/>
    </row>
    <row r="633" spans="3:3" ht="15.75" customHeight="1">
      <c r="C633" s="121"/>
    </row>
    <row r="634" spans="3:3" ht="15.75" customHeight="1">
      <c r="C634" s="121"/>
    </row>
    <row r="635" spans="3:3" ht="15.75" customHeight="1">
      <c r="C635" s="121"/>
    </row>
    <row r="636" spans="3:3" ht="15.75" customHeight="1">
      <c r="C636" s="121"/>
    </row>
    <row r="637" spans="3:3" ht="15.75" customHeight="1">
      <c r="C637" s="121"/>
    </row>
    <row r="638" spans="3:3" ht="15.75" customHeight="1">
      <c r="C638" s="121"/>
    </row>
    <row r="639" spans="3:3" ht="15.75" customHeight="1">
      <c r="C639" s="121"/>
    </row>
    <row r="640" spans="3:3" ht="15.75" customHeight="1">
      <c r="C640" s="121"/>
    </row>
    <row r="641" spans="3:3" ht="15.75" customHeight="1">
      <c r="C641" s="121"/>
    </row>
    <row r="642" spans="3:3" ht="15.75" customHeight="1">
      <c r="C642" s="121"/>
    </row>
    <row r="643" spans="3:3" ht="15.75" customHeight="1">
      <c r="C643" s="121"/>
    </row>
    <row r="644" spans="3:3" ht="15.75" customHeight="1">
      <c r="C644" s="121"/>
    </row>
    <row r="645" spans="3:3" ht="15.75" customHeight="1">
      <c r="C645" s="121"/>
    </row>
    <row r="646" spans="3:3" ht="15.75" customHeight="1">
      <c r="C646" s="121"/>
    </row>
    <row r="647" spans="3:3" ht="15.75" customHeight="1">
      <c r="C647" s="121"/>
    </row>
    <row r="648" spans="3:3" ht="15.75" customHeight="1">
      <c r="C648" s="121"/>
    </row>
    <row r="649" spans="3:3" ht="15.75" customHeight="1">
      <c r="C649" s="121"/>
    </row>
    <row r="650" spans="3:3" ht="15.75" customHeight="1">
      <c r="C650" s="121"/>
    </row>
    <row r="651" spans="3:3" ht="15.75" customHeight="1">
      <c r="C651" s="121"/>
    </row>
    <row r="652" spans="3:3" ht="15.75" customHeight="1">
      <c r="C652" s="121"/>
    </row>
    <row r="653" spans="3:3" ht="15.75" customHeight="1">
      <c r="C653" s="121"/>
    </row>
    <row r="654" spans="3:3" ht="15.75" customHeight="1">
      <c r="C654" s="121"/>
    </row>
    <row r="655" spans="3:3" ht="15.75" customHeight="1">
      <c r="C655" s="121"/>
    </row>
    <row r="656" spans="3:3" ht="15.75" customHeight="1">
      <c r="C656" s="121"/>
    </row>
    <row r="657" spans="3:3" ht="15.75" customHeight="1">
      <c r="C657" s="121"/>
    </row>
    <row r="658" spans="3:3" ht="15.75" customHeight="1">
      <c r="C658" s="121"/>
    </row>
    <row r="659" spans="3:3" ht="15.75" customHeight="1">
      <c r="C659" s="121"/>
    </row>
    <row r="660" spans="3:3" ht="15.75" customHeight="1">
      <c r="C660" s="121"/>
    </row>
    <row r="661" spans="3:3" ht="15.75" customHeight="1">
      <c r="C661" s="121"/>
    </row>
    <row r="662" spans="3:3" ht="15.75" customHeight="1">
      <c r="C662" s="121"/>
    </row>
    <row r="663" spans="3:3" ht="15.75" customHeight="1">
      <c r="C663" s="121"/>
    </row>
    <row r="664" spans="3:3" ht="15.75" customHeight="1">
      <c r="C664" s="121"/>
    </row>
    <row r="665" spans="3:3" ht="15.75" customHeight="1">
      <c r="C665" s="121"/>
    </row>
    <row r="666" spans="3:3" ht="15.75" customHeight="1">
      <c r="C666" s="121"/>
    </row>
    <row r="667" spans="3:3" ht="15.75" customHeight="1">
      <c r="C667" s="121"/>
    </row>
    <row r="668" spans="3:3" ht="15.75" customHeight="1">
      <c r="C668" s="121"/>
    </row>
    <row r="669" spans="3:3" ht="15.75" customHeight="1">
      <c r="C669" s="121"/>
    </row>
    <row r="670" spans="3:3" ht="15.75" customHeight="1">
      <c r="C670" s="121"/>
    </row>
    <row r="671" spans="3:3" ht="15.75" customHeight="1">
      <c r="C671" s="121"/>
    </row>
    <row r="672" spans="3:3" ht="15.75" customHeight="1">
      <c r="C672" s="121"/>
    </row>
    <row r="673" spans="3:3" ht="15.75" customHeight="1">
      <c r="C673" s="121"/>
    </row>
    <row r="674" spans="3:3" ht="15.75" customHeight="1">
      <c r="C674" s="121"/>
    </row>
    <row r="675" spans="3:3" ht="15.75" customHeight="1">
      <c r="C675" s="121"/>
    </row>
    <row r="676" spans="3:3" ht="15.75" customHeight="1">
      <c r="C676" s="121"/>
    </row>
    <row r="677" spans="3:3" ht="15.75" customHeight="1">
      <c r="C677" s="121"/>
    </row>
    <row r="678" spans="3:3" ht="15.75" customHeight="1">
      <c r="C678" s="121"/>
    </row>
    <row r="679" spans="3:3" ht="15.75" customHeight="1">
      <c r="C679" s="121"/>
    </row>
    <row r="680" spans="3:3" ht="15.75" customHeight="1">
      <c r="C680" s="121"/>
    </row>
    <row r="681" spans="3:3" ht="15.75" customHeight="1">
      <c r="C681" s="121"/>
    </row>
    <row r="682" spans="3:3" ht="15.75" customHeight="1">
      <c r="C682" s="121"/>
    </row>
    <row r="683" spans="3:3" ht="15.75" customHeight="1">
      <c r="C683" s="121"/>
    </row>
    <row r="684" spans="3:3" ht="15.75" customHeight="1">
      <c r="C684" s="121"/>
    </row>
    <row r="685" spans="3:3" ht="15.75" customHeight="1">
      <c r="C685" s="121"/>
    </row>
    <row r="686" spans="3:3" ht="15.75" customHeight="1">
      <c r="C686" s="121"/>
    </row>
    <row r="687" spans="3:3" ht="15.75" customHeight="1">
      <c r="C687" s="121"/>
    </row>
    <row r="688" spans="3:3" ht="15.75" customHeight="1">
      <c r="C688" s="121"/>
    </row>
    <row r="689" spans="3:3" ht="15.75" customHeight="1">
      <c r="C689" s="121"/>
    </row>
    <row r="690" spans="3:3" ht="15.75" customHeight="1">
      <c r="C690" s="121"/>
    </row>
    <row r="691" spans="3:3" ht="15.75" customHeight="1">
      <c r="C691" s="121"/>
    </row>
    <row r="692" spans="3:3" ht="15.75" customHeight="1">
      <c r="C692" s="121"/>
    </row>
    <row r="693" spans="3:3" ht="15.75" customHeight="1">
      <c r="C693" s="121"/>
    </row>
    <row r="694" spans="3:3" ht="15.75" customHeight="1">
      <c r="C694" s="121"/>
    </row>
    <row r="695" spans="3:3" ht="15.75" customHeight="1">
      <c r="C695" s="121"/>
    </row>
    <row r="696" spans="3:3" ht="15.75" customHeight="1">
      <c r="C696" s="121"/>
    </row>
    <row r="697" spans="3:3" ht="15.75" customHeight="1">
      <c r="C697" s="121"/>
    </row>
    <row r="698" spans="3:3" ht="15.75" customHeight="1">
      <c r="C698" s="121"/>
    </row>
    <row r="699" spans="3:3" ht="15.75" customHeight="1">
      <c r="C699" s="121"/>
    </row>
    <row r="700" spans="3:3" ht="15.75" customHeight="1">
      <c r="C700" s="121"/>
    </row>
    <row r="701" spans="3:3" ht="15.75" customHeight="1">
      <c r="C701" s="121"/>
    </row>
    <row r="702" spans="3:3" ht="15.75" customHeight="1">
      <c r="C702" s="121"/>
    </row>
    <row r="703" spans="3:3" ht="15.75" customHeight="1">
      <c r="C703" s="121"/>
    </row>
    <row r="704" spans="3:3" ht="15.75" customHeight="1">
      <c r="C704" s="121"/>
    </row>
    <row r="705" spans="3:3" ht="15.75" customHeight="1">
      <c r="C705" s="121"/>
    </row>
    <row r="706" spans="3:3" ht="15.75" customHeight="1">
      <c r="C706" s="121"/>
    </row>
    <row r="707" spans="3:3" ht="15.75" customHeight="1">
      <c r="C707" s="121"/>
    </row>
    <row r="708" spans="3:3" ht="15.75" customHeight="1">
      <c r="C708" s="121"/>
    </row>
    <row r="709" spans="3:3" ht="15.75" customHeight="1">
      <c r="C709" s="121"/>
    </row>
    <row r="710" spans="3:3" ht="15.75" customHeight="1">
      <c r="C710" s="121"/>
    </row>
    <row r="711" spans="3:3" ht="15.75" customHeight="1">
      <c r="C711" s="121"/>
    </row>
    <row r="712" spans="3:3" ht="15.75" customHeight="1">
      <c r="C712" s="121"/>
    </row>
    <row r="713" spans="3:3" ht="15.75" customHeight="1">
      <c r="C713" s="121"/>
    </row>
    <row r="714" spans="3:3" ht="15.75" customHeight="1">
      <c r="C714" s="121"/>
    </row>
    <row r="715" spans="3:3" ht="15.75" customHeight="1">
      <c r="C715" s="121"/>
    </row>
    <row r="716" spans="3:3" ht="15.75" customHeight="1">
      <c r="C716" s="121"/>
    </row>
    <row r="717" spans="3:3" ht="15.75" customHeight="1">
      <c r="C717" s="121"/>
    </row>
    <row r="718" spans="3:3" ht="15.75" customHeight="1">
      <c r="C718" s="121"/>
    </row>
    <row r="719" spans="3:3" ht="15.75" customHeight="1">
      <c r="C719" s="121"/>
    </row>
    <row r="720" spans="3:3" ht="15.75" customHeight="1">
      <c r="C720" s="121"/>
    </row>
    <row r="721" spans="3:3" ht="15.75" customHeight="1">
      <c r="C721" s="121"/>
    </row>
    <row r="722" spans="3:3" ht="15.75" customHeight="1">
      <c r="C722" s="121"/>
    </row>
    <row r="723" spans="3:3" ht="15.75" customHeight="1">
      <c r="C723" s="121"/>
    </row>
    <row r="724" spans="3:3" ht="15.75" customHeight="1">
      <c r="C724" s="121"/>
    </row>
    <row r="725" spans="3:3" ht="15.75" customHeight="1">
      <c r="C725" s="121"/>
    </row>
    <row r="726" spans="3:3" ht="15.75" customHeight="1">
      <c r="C726" s="121"/>
    </row>
    <row r="727" spans="3:3" ht="15.75" customHeight="1">
      <c r="C727" s="121"/>
    </row>
    <row r="728" spans="3:3" ht="15.75" customHeight="1">
      <c r="C728" s="121"/>
    </row>
    <row r="729" spans="3:3" ht="15.75" customHeight="1">
      <c r="C729" s="121"/>
    </row>
    <row r="730" spans="3:3" ht="15.75" customHeight="1">
      <c r="C730" s="121"/>
    </row>
    <row r="731" spans="3:3" ht="15.75" customHeight="1">
      <c r="C731" s="121"/>
    </row>
    <row r="732" spans="3:3" ht="15.75" customHeight="1">
      <c r="C732" s="121"/>
    </row>
    <row r="733" spans="3:3" ht="15.75" customHeight="1">
      <c r="C733" s="121"/>
    </row>
    <row r="734" spans="3:3" ht="15.75" customHeight="1">
      <c r="C734" s="121"/>
    </row>
    <row r="735" spans="3:3" ht="15.75" customHeight="1">
      <c r="C735" s="121"/>
    </row>
    <row r="736" spans="3:3" ht="15.75" customHeight="1">
      <c r="C736" s="121"/>
    </row>
    <row r="737" spans="3:3" ht="15.75" customHeight="1">
      <c r="C737" s="121"/>
    </row>
    <row r="738" spans="3:3" ht="15.75" customHeight="1">
      <c r="C738" s="121"/>
    </row>
    <row r="739" spans="3:3" ht="15.75" customHeight="1">
      <c r="C739" s="121"/>
    </row>
    <row r="740" spans="3:3" ht="15.75" customHeight="1">
      <c r="C740" s="121"/>
    </row>
    <row r="741" spans="3:3" ht="15.75" customHeight="1">
      <c r="C741" s="121"/>
    </row>
    <row r="742" spans="3:3" ht="15.75" customHeight="1">
      <c r="C742" s="121"/>
    </row>
    <row r="743" spans="3:3" ht="15.75" customHeight="1">
      <c r="C743" s="121"/>
    </row>
    <row r="744" spans="3:3" ht="15.75" customHeight="1">
      <c r="C744" s="121"/>
    </row>
    <row r="745" spans="3:3" ht="15.75" customHeight="1">
      <c r="C745" s="121"/>
    </row>
    <row r="746" spans="3:3" ht="15.75" customHeight="1">
      <c r="C746" s="121"/>
    </row>
    <row r="747" spans="3:3" ht="15.75" customHeight="1">
      <c r="C747" s="121"/>
    </row>
    <row r="748" spans="3:3" ht="15.75" customHeight="1">
      <c r="C748" s="121"/>
    </row>
    <row r="749" spans="3:3" ht="15.75" customHeight="1">
      <c r="C749" s="121"/>
    </row>
    <row r="750" spans="3:3" ht="15.75" customHeight="1">
      <c r="C750" s="121"/>
    </row>
    <row r="751" spans="3:3" ht="15.75" customHeight="1">
      <c r="C751" s="121"/>
    </row>
    <row r="752" spans="3:3" ht="15.75" customHeight="1">
      <c r="C752" s="121"/>
    </row>
    <row r="753" spans="3:3" ht="15.75" customHeight="1">
      <c r="C753" s="121"/>
    </row>
    <row r="754" spans="3:3" ht="15.75" customHeight="1">
      <c r="C754" s="121"/>
    </row>
    <row r="755" spans="3:3" ht="15.75" customHeight="1">
      <c r="C755" s="121"/>
    </row>
    <row r="756" spans="3:3" ht="15.75" customHeight="1">
      <c r="C756" s="121"/>
    </row>
    <row r="757" spans="3:3" ht="15.75" customHeight="1">
      <c r="C757" s="121"/>
    </row>
    <row r="758" spans="3:3" ht="15.75" customHeight="1">
      <c r="C758" s="121"/>
    </row>
    <row r="759" spans="3:3" ht="15.75" customHeight="1">
      <c r="C759" s="121"/>
    </row>
    <row r="760" spans="3:3" ht="15.75" customHeight="1">
      <c r="C760" s="121"/>
    </row>
    <row r="761" spans="3:3" ht="15.75" customHeight="1">
      <c r="C761" s="121"/>
    </row>
    <row r="762" spans="3:3" ht="15.75" customHeight="1">
      <c r="C762" s="121"/>
    </row>
    <row r="763" spans="3:3" ht="15.75" customHeight="1">
      <c r="C763" s="121"/>
    </row>
    <row r="764" spans="3:3" ht="15.75" customHeight="1">
      <c r="C764" s="121"/>
    </row>
    <row r="765" spans="3:3" ht="15.75" customHeight="1">
      <c r="C765" s="121"/>
    </row>
    <row r="766" spans="3:3" ht="15.75" customHeight="1">
      <c r="C766" s="121"/>
    </row>
    <row r="767" spans="3:3" ht="15.75" customHeight="1">
      <c r="C767" s="121"/>
    </row>
    <row r="768" spans="3:3" ht="15.75" customHeight="1">
      <c r="C768" s="121"/>
    </row>
    <row r="769" spans="3:3" ht="15.75" customHeight="1">
      <c r="C769" s="121"/>
    </row>
    <row r="770" spans="3:3" ht="15.75" customHeight="1">
      <c r="C770" s="121"/>
    </row>
    <row r="771" spans="3:3" ht="15.75" customHeight="1">
      <c r="C771" s="121"/>
    </row>
    <row r="772" spans="3:3" ht="15.75" customHeight="1">
      <c r="C772" s="121"/>
    </row>
    <row r="773" spans="3:3" ht="15.75" customHeight="1">
      <c r="C773" s="121"/>
    </row>
    <row r="774" spans="3:3" ht="15.75" customHeight="1">
      <c r="C774" s="121"/>
    </row>
    <row r="775" spans="3:3" ht="15.75" customHeight="1">
      <c r="C775" s="121"/>
    </row>
    <row r="776" spans="3:3" ht="15.75" customHeight="1">
      <c r="C776" s="121"/>
    </row>
    <row r="777" spans="3:3" ht="15.75" customHeight="1">
      <c r="C777" s="121"/>
    </row>
    <row r="778" spans="3:3" ht="15.75" customHeight="1">
      <c r="C778" s="121"/>
    </row>
    <row r="779" spans="3:3" ht="15.75" customHeight="1">
      <c r="C779" s="121"/>
    </row>
    <row r="780" spans="3:3" ht="15.75" customHeight="1">
      <c r="C780" s="121"/>
    </row>
    <row r="781" spans="3:3" ht="15.75" customHeight="1">
      <c r="C781" s="121"/>
    </row>
    <row r="782" spans="3:3" ht="15.75" customHeight="1">
      <c r="C782" s="121"/>
    </row>
    <row r="783" spans="3:3" ht="15.75" customHeight="1">
      <c r="C783" s="121"/>
    </row>
    <row r="784" spans="3:3" ht="15.75" customHeight="1">
      <c r="C784" s="121"/>
    </row>
    <row r="785" spans="3:3" ht="15.75" customHeight="1">
      <c r="C785" s="121"/>
    </row>
    <row r="786" spans="3:3" ht="15.75" customHeight="1">
      <c r="C786" s="121"/>
    </row>
    <row r="787" spans="3:3" ht="15.75" customHeight="1">
      <c r="C787" s="121"/>
    </row>
    <row r="788" spans="3:3" ht="15.75" customHeight="1">
      <c r="C788" s="121"/>
    </row>
    <row r="789" spans="3:3" ht="15.75" customHeight="1">
      <c r="C789" s="121"/>
    </row>
    <row r="790" spans="3:3" ht="15.75" customHeight="1">
      <c r="C790" s="121"/>
    </row>
    <row r="791" spans="3:3" ht="15.75" customHeight="1">
      <c r="C791" s="121"/>
    </row>
    <row r="792" spans="3:3" ht="15.75" customHeight="1">
      <c r="C792" s="121"/>
    </row>
    <row r="793" spans="3:3" ht="15.75" customHeight="1">
      <c r="C793" s="121"/>
    </row>
    <row r="794" spans="3:3" ht="15.75" customHeight="1">
      <c r="C794" s="121"/>
    </row>
    <row r="795" spans="3:3" ht="15.75" customHeight="1">
      <c r="C795" s="121"/>
    </row>
    <row r="796" spans="3:3" ht="15.75" customHeight="1">
      <c r="C796" s="121"/>
    </row>
    <row r="797" spans="3:3" ht="15.75" customHeight="1">
      <c r="C797" s="121"/>
    </row>
    <row r="798" spans="3:3" ht="15.75" customHeight="1">
      <c r="C798" s="121"/>
    </row>
    <row r="799" spans="3:3" ht="15.75" customHeight="1">
      <c r="C799" s="121"/>
    </row>
    <row r="800" spans="3:3" ht="15.75" customHeight="1">
      <c r="C800" s="121"/>
    </row>
    <row r="801" spans="3:3" ht="15.75" customHeight="1">
      <c r="C801" s="121"/>
    </row>
    <row r="802" spans="3:3" ht="15.75" customHeight="1">
      <c r="C802" s="121"/>
    </row>
    <row r="803" spans="3:3" ht="15.75" customHeight="1">
      <c r="C803" s="121"/>
    </row>
    <row r="804" spans="3:3" ht="15.75" customHeight="1">
      <c r="C804" s="121"/>
    </row>
    <row r="805" spans="3:3" ht="15.75" customHeight="1">
      <c r="C805" s="121"/>
    </row>
    <row r="806" spans="3:3" ht="15.75" customHeight="1">
      <c r="C806" s="121"/>
    </row>
    <row r="807" spans="3:3" ht="15.75" customHeight="1">
      <c r="C807" s="121"/>
    </row>
    <row r="808" spans="3:3" ht="15.75" customHeight="1">
      <c r="C808" s="121"/>
    </row>
    <row r="809" spans="3:3" ht="15.75" customHeight="1">
      <c r="C809" s="121"/>
    </row>
    <row r="810" spans="3:3" ht="15.75" customHeight="1">
      <c r="C810" s="121"/>
    </row>
    <row r="811" spans="3:3" ht="15.75" customHeight="1">
      <c r="C811" s="121"/>
    </row>
    <row r="812" spans="3:3" ht="15.75" customHeight="1">
      <c r="C812" s="121"/>
    </row>
    <row r="813" spans="3:3" ht="15.75" customHeight="1">
      <c r="C813" s="121"/>
    </row>
    <row r="814" spans="3:3" ht="15.75" customHeight="1">
      <c r="C814" s="121"/>
    </row>
    <row r="815" spans="3:3" ht="15.75" customHeight="1">
      <c r="C815" s="121"/>
    </row>
    <row r="816" spans="3:3" ht="15.75" customHeight="1">
      <c r="C816" s="121"/>
    </row>
    <row r="817" spans="3:3" ht="15.75" customHeight="1">
      <c r="C817" s="121"/>
    </row>
    <row r="818" spans="3:3" ht="15.75" customHeight="1">
      <c r="C818" s="121"/>
    </row>
    <row r="819" spans="3:3" ht="15.75" customHeight="1">
      <c r="C819" s="121"/>
    </row>
    <row r="820" spans="3:3" ht="15.75" customHeight="1">
      <c r="C820" s="121"/>
    </row>
    <row r="821" spans="3:3" ht="15.75" customHeight="1">
      <c r="C821" s="121"/>
    </row>
    <row r="822" spans="3:3" ht="15.75" customHeight="1">
      <c r="C822" s="121"/>
    </row>
    <row r="823" spans="3:3" ht="15.75" customHeight="1">
      <c r="C823" s="121"/>
    </row>
    <row r="824" spans="3:3" ht="15.75" customHeight="1">
      <c r="C824" s="121"/>
    </row>
    <row r="825" spans="3:3" ht="15.75" customHeight="1">
      <c r="C825" s="121"/>
    </row>
    <row r="826" spans="3:3" ht="15.75" customHeight="1">
      <c r="C826" s="121"/>
    </row>
    <row r="827" spans="3:3" ht="15.75" customHeight="1">
      <c r="C827" s="121"/>
    </row>
    <row r="828" spans="3:3" ht="15.75" customHeight="1">
      <c r="C828" s="121"/>
    </row>
    <row r="829" spans="3:3" ht="15.75" customHeight="1">
      <c r="C829" s="121"/>
    </row>
    <row r="830" spans="3:3" ht="15.75" customHeight="1">
      <c r="C830" s="121"/>
    </row>
    <row r="831" spans="3:3" ht="15.75" customHeight="1">
      <c r="C831" s="121"/>
    </row>
    <row r="832" spans="3:3" ht="15.75" customHeight="1">
      <c r="C832" s="121"/>
    </row>
    <row r="833" spans="3:3" ht="15.75" customHeight="1">
      <c r="C833" s="121"/>
    </row>
    <row r="834" spans="3:3" ht="15.75" customHeight="1">
      <c r="C834" s="121"/>
    </row>
    <row r="835" spans="3:3" ht="15.75" customHeight="1">
      <c r="C835" s="121"/>
    </row>
    <row r="836" spans="3:3" ht="15.75" customHeight="1">
      <c r="C836" s="121"/>
    </row>
    <row r="837" spans="3:3" ht="15.75" customHeight="1">
      <c r="C837" s="121"/>
    </row>
    <row r="838" spans="3:3" ht="15.75" customHeight="1">
      <c r="C838" s="121"/>
    </row>
    <row r="839" spans="3:3" ht="15.75" customHeight="1">
      <c r="C839" s="121"/>
    </row>
    <row r="840" spans="3:3" ht="15.75" customHeight="1">
      <c r="C840" s="121"/>
    </row>
    <row r="841" spans="3:3" ht="15.75" customHeight="1">
      <c r="C841" s="121"/>
    </row>
    <row r="842" spans="3:3" ht="15.75" customHeight="1">
      <c r="C842" s="121"/>
    </row>
    <row r="843" spans="3:3" ht="15.75" customHeight="1">
      <c r="C843" s="121"/>
    </row>
    <row r="844" spans="3:3" ht="15.75" customHeight="1">
      <c r="C844" s="121"/>
    </row>
    <row r="845" spans="3:3" ht="15.75" customHeight="1">
      <c r="C845" s="121"/>
    </row>
    <row r="846" spans="3:3" ht="15.75" customHeight="1">
      <c r="C846" s="121"/>
    </row>
    <row r="847" spans="3:3" ht="15.75" customHeight="1">
      <c r="C847" s="121"/>
    </row>
    <row r="848" spans="3:3" ht="15.75" customHeight="1">
      <c r="C848" s="121"/>
    </row>
    <row r="849" spans="3:3" ht="15.75" customHeight="1">
      <c r="C849" s="121"/>
    </row>
    <row r="850" spans="3:3" ht="15.75" customHeight="1">
      <c r="C850" s="121"/>
    </row>
    <row r="851" spans="3:3" ht="15.75" customHeight="1">
      <c r="C851" s="121"/>
    </row>
    <row r="852" spans="3:3" ht="15.75" customHeight="1">
      <c r="C852" s="121"/>
    </row>
    <row r="853" spans="3:3" ht="15.75" customHeight="1">
      <c r="C853" s="121"/>
    </row>
    <row r="854" spans="3:3" ht="15.75" customHeight="1">
      <c r="C854" s="121"/>
    </row>
    <row r="855" spans="3:3" ht="15.75" customHeight="1">
      <c r="C855" s="121"/>
    </row>
    <row r="856" spans="3:3" ht="15.75" customHeight="1">
      <c r="C856" s="121"/>
    </row>
    <row r="857" spans="3:3" ht="15.75" customHeight="1">
      <c r="C857" s="121"/>
    </row>
    <row r="858" spans="3:3" ht="15.75" customHeight="1">
      <c r="C858" s="121"/>
    </row>
    <row r="859" spans="3:3" ht="15.75" customHeight="1">
      <c r="C859" s="121"/>
    </row>
    <row r="860" spans="3:3" ht="15.75" customHeight="1">
      <c r="C860" s="121"/>
    </row>
    <row r="861" spans="3:3" ht="15.75" customHeight="1">
      <c r="C861" s="121"/>
    </row>
    <row r="862" spans="3:3" ht="15.75" customHeight="1">
      <c r="C862" s="121"/>
    </row>
    <row r="863" spans="3:3" ht="15.75" customHeight="1">
      <c r="C863" s="121"/>
    </row>
    <row r="864" spans="3:3" ht="15.75" customHeight="1">
      <c r="C864" s="121"/>
    </row>
    <row r="865" spans="3:3" ht="15.75" customHeight="1">
      <c r="C865" s="121"/>
    </row>
    <row r="866" spans="3:3" ht="15.75" customHeight="1">
      <c r="C866" s="121"/>
    </row>
    <row r="867" spans="3:3" ht="15.75" customHeight="1">
      <c r="C867" s="121"/>
    </row>
    <row r="868" spans="3:3" ht="15.75" customHeight="1">
      <c r="C868" s="121"/>
    </row>
    <row r="869" spans="3:3" ht="15.75" customHeight="1">
      <c r="C869" s="121"/>
    </row>
    <row r="870" spans="3:3" ht="15.75" customHeight="1">
      <c r="C870" s="121"/>
    </row>
    <row r="871" spans="3:3" ht="15.75" customHeight="1">
      <c r="C871" s="121"/>
    </row>
    <row r="872" spans="3:3" ht="15.75" customHeight="1">
      <c r="C872" s="121"/>
    </row>
    <row r="873" spans="3:3" ht="15.75" customHeight="1">
      <c r="C873" s="121"/>
    </row>
    <row r="874" spans="3:3" ht="15.75" customHeight="1">
      <c r="C874" s="121"/>
    </row>
    <row r="875" spans="3:3" ht="15.75" customHeight="1">
      <c r="C875" s="121"/>
    </row>
    <row r="876" spans="3:3" ht="15.75" customHeight="1">
      <c r="C876" s="121"/>
    </row>
    <row r="877" spans="3:3" ht="15.75" customHeight="1">
      <c r="C877" s="121"/>
    </row>
    <row r="878" spans="3:3" ht="15.75" customHeight="1">
      <c r="C878" s="121"/>
    </row>
    <row r="879" spans="3:3" ht="15.75" customHeight="1">
      <c r="C879" s="121"/>
    </row>
    <row r="880" spans="3:3" ht="15.75" customHeight="1">
      <c r="C880" s="121"/>
    </row>
    <row r="881" spans="3:3" ht="15.75" customHeight="1">
      <c r="C881" s="121"/>
    </row>
    <row r="882" spans="3:3" ht="15.75" customHeight="1">
      <c r="C882" s="121"/>
    </row>
    <row r="883" spans="3:3" ht="15.75" customHeight="1">
      <c r="C883" s="121"/>
    </row>
    <row r="884" spans="3:3" ht="15.75" customHeight="1">
      <c r="C884" s="121"/>
    </row>
    <row r="885" spans="3:3" ht="15.75" customHeight="1">
      <c r="C885" s="121"/>
    </row>
    <row r="886" spans="3:3" ht="15.75" customHeight="1">
      <c r="C886" s="121"/>
    </row>
    <row r="887" spans="3:3" ht="15.75" customHeight="1">
      <c r="C887" s="121"/>
    </row>
    <row r="888" spans="3:3" ht="15.75" customHeight="1">
      <c r="C888" s="121"/>
    </row>
    <row r="889" spans="3:3" ht="15.75" customHeight="1">
      <c r="C889" s="121"/>
    </row>
    <row r="890" spans="3:3" ht="15.75" customHeight="1">
      <c r="C890" s="121"/>
    </row>
    <row r="891" spans="3:3" ht="15.75" customHeight="1">
      <c r="C891" s="121"/>
    </row>
    <row r="892" spans="3:3" ht="15.75" customHeight="1">
      <c r="C892" s="121"/>
    </row>
    <row r="893" spans="3:3" ht="15.75" customHeight="1">
      <c r="C893" s="121"/>
    </row>
    <row r="894" spans="3:3" ht="15.75" customHeight="1">
      <c r="C894" s="121"/>
    </row>
    <row r="895" spans="3:3" ht="15.75" customHeight="1">
      <c r="C895" s="121"/>
    </row>
    <row r="896" spans="3:3" ht="15.75" customHeight="1">
      <c r="C896" s="121"/>
    </row>
    <row r="897" spans="3:3" ht="15.75" customHeight="1">
      <c r="C897" s="121"/>
    </row>
    <row r="898" spans="3:3" ht="15.75" customHeight="1">
      <c r="C898" s="121"/>
    </row>
    <row r="899" spans="3:3" ht="15.75" customHeight="1">
      <c r="C899" s="121"/>
    </row>
    <row r="900" spans="3:3" ht="15.75" customHeight="1">
      <c r="C900" s="121"/>
    </row>
    <row r="901" spans="3:3" ht="15.75" customHeight="1">
      <c r="C901" s="121"/>
    </row>
    <row r="902" spans="3:3" ht="15.75" customHeight="1">
      <c r="C902" s="121"/>
    </row>
    <row r="903" spans="3:3" ht="15.75" customHeight="1">
      <c r="C903" s="121"/>
    </row>
    <row r="904" spans="3:3" ht="15.75" customHeight="1">
      <c r="C904" s="121"/>
    </row>
    <row r="905" spans="3:3" ht="15.75" customHeight="1">
      <c r="C905" s="121"/>
    </row>
    <row r="906" spans="3:3" ht="15.75" customHeight="1">
      <c r="C906" s="121"/>
    </row>
    <row r="907" spans="3:3" ht="15.75" customHeight="1">
      <c r="C907" s="121"/>
    </row>
    <row r="908" spans="3:3" ht="15.75" customHeight="1">
      <c r="C908" s="121"/>
    </row>
    <row r="909" spans="3:3" ht="15.75" customHeight="1">
      <c r="C909" s="121"/>
    </row>
    <row r="910" spans="3:3" ht="15.75" customHeight="1">
      <c r="C910" s="121"/>
    </row>
    <row r="911" spans="3:3" ht="15.75" customHeight="1">
      <c r="C911" s="121"/>
    </row>
    <row r="912" spans="3:3" ht="15.75" customHeight="1">
      <c r="C912" s="121"/>
    </row>
    <row r="913" spans="3:3" ht="15.75" customHeight="1">
      <c r="C913" s="121"/>
    </row>
    <row r="914" spans="3:3" ht="15.75" customHeight="1">
      <c r="C914" s="121"/>
    </row>
    <row r="915" spans="3:3" ht="15.75" customHeight="1">
      <c r="C915" s="121"/>
    </row>
    <row r="916" spans="3:3" ht="15.75" customHeight="1">
      <c r="C916" s="121"/>
    </row>
    <row r="917" spans="3:3" ht="15.75" customHeight="1">
      <c r="C917" s="121"/>
    </row>
    <row r="918" spans="3:3" ht="15.75" customHeight="1">
      <c r="C918" s="121"/>
    </row>
    <row r="919" spans="3:3" ht="15.75" customHeight="1">
      <c r="C919" s="121"/>
    </row>
    <row r="920" spans="3:3" ht="15.75" customHeight="1">
      <c r="C920" s="121"/>
    </row>
    <row r="921" spans="3:3" ht="15.75" customHeight="1">
      <c r="C921" s="121"/>
    </row>
    <row r="922" spans="3:3" ht="15.75" customHeight="1">
      <c r="C922" s="121"/>
    </row>
    <row r="923" spans="3:3" ht="15.75" customHeight="1">
      <c r="C923" s="121"/>
    </row>
    <row r="924" spans="3:3" ht="15.75" customHeight="1">
      <c r="C924" s="121"/>
    </row>
    <row r="925" spans="3:3" ht="15.75" customHeight="1">
      <c r="C925" s="121"/>
    </row>
    <row r="926" spans="3:3" ht="15.75" customHeight="1">
      <c r="C926" s="121"/>
    </row>
    <row r="927" spans="3:3" ht="15.75" customHeight="1">
      <c r="C927" s="121"/>
    </row>
    <row r="928" spans="3:3" ht="15.75" customHeight="1">
      <c r="C928" s="121"/>
    </row>
    <row r="929" spans="3:3" ht="15.75" customHeight="1">
      <c r="C929" s="121"/>
    </row>
    <row r="930" spans="3:3" ht="15.75" customHeight="1">
      <c r="C930" s="121"/>
    </row>
    <row r="931" spans="3:3" ht="15.75" customHeight="1">
      <c r="C931" s="121"/>
    </row>
    <row r="932" spans="3:3" ht="15.75" customHeight="1">
      <c r="C932" s="121"/>
    </row>
    <row r="933" spans="3:3" ht="15.75" customHeight="1">
      <c r="C933" s="121"/>
    </row>
    <row r="934" spans="3:3" ht="15.75" customHeight="1">
      <c r="C934" s="121"/>
    </row>
    <row r="935" spans="3:3" ht="15.75" customHeight="1">
      <c r="C935" s="121"/>
    </row>
    <row r="936" spans="3:3" ht="15.75" customHeight="1">
      <c r="C936" s="121"/>
    </row>
    <row r="937" spans="3:3" ht="15.75" customHeight="1">
      <c r="C937" s="121"/>
    </row>
    <row r="938" spans="3:3" ht="15.75" customHeight="1">
      <c r="C938" s="121"/>
    </row>
    <row r="939" spans="3:3" ht="15.75" customHeight="1">
      <c r="C939" s="121"/>
    </row>
    <row r="940" spans="3:3" ht="15.75" customHeight="1">
      <c r="C940" s="121"/>
    </row>
    <row r="941" spans="3:3" ht="15.75" customHeight="1">
      <c r="C941" s="121"/>
    </row>
    <row r="942" spans="3:3" ht="15.75" customHeight="1">
      <c r="C942" s="121"/>
    </row>
    <row r="943" spans="3:3" ht="15.75" customHeight="1">
      <c r="C943" s="121"/>
    </row>
    <row r="944" spans="3:3" ht="15.75" customHeight="1">
      <c r="C944" s="121"/>
    </row>
    <row r="945" spans="3:3" ht="15.75" customHeight="1">
      <c r="C945" s="121"/>
    </row>
    <row r="946" spans="3:3" ht="15.75" customHeight="1">
      <c r="C946" s="121"/>
    </row>
    <row r="947" spans="3:3" ht="15.75" customHeight="1">
      <c r="C947" s="121"/>
    </row>
    <row r="948" spans="3:3" ht="15.75" customHeight="1">
      <c r="C948" s="121"/>
    </row>
    <row r="949" spans="3:3" ht="15.75" customHeight="1">
      <c r="C949" s="121"/>
    </row>
    <row r="950" spans="3:3" ht="15.75" customHeight="1">
      <c r="C950" s="121"/>
    </row>
    <row r="951" spans="3:3" ht="15.75" customHeight="1">
      <c r="C951" s="121"/>
    </row>
    <row r="952" spans="3:3" ht="15.75" customHeight="1">
      <c r="C952" s="121"/>
    </row>
    <row r="953" spans="3:3" ht="15.75" customHeight="1">
      <c r="C953" s="121"/>
    </row>
    <row r="954" spans="3:3" ht="15.75" customHeight="1">
      <c r="C954" s="121"/>
    </row>
    <row r="955" spans="3:3" ht="15.75" customHeight="1">
      <c r="C955" s="121"/>
    </row>
    <row r="956" spans="3:3" ht="15.75" customHeight="1">
      <c r="C956" s="121"/>
    </row>
    <row r="957" spans="3:3" ht="15.75" customHeight="1">
      <c r="C957" s="121"/>
    </row>
    <row r="958" spans="3:3" ht="15.75" customHeight="1">
      <c r="C958" s="121"/>
    </row>
    <row r="959" spans="3:3" ht="15.75" customHeight="1">
      <c r="C959" s="121"/>
    </row>
    <row r="960" spans="3:3" ht="15.75" customHeight="1">
      <c r="C960" s="121"/>
    </row>
    <row r="961" spans="3:3" ht="15.75" customHeight="1">
      <c r="C961" s="121"/>
    </row>
    <row r="962" spans="3:3" ht="15.75" customHeight="1">
      <c r="C962" s="121"/>
    </row>
    <row r="963" spans="3:3" ht="15.75" customHeight="1">
      <c r="C963" s="121"/>
    </row>
    <row r="964" spans="3:3" ht="15.75" customHeight="1">
      <c r="C964" s="121"/>
    </row>
    <row r="965" spans="3:3" ht="15.75" customHeight="1">
      <c r="C965" s="121"/>
    </row>
    <row r="966" spans="3:3" ht="15.75" customHeight="1">
      <c r="C966" s="121"/>
    </row>
    <row r="967" spans="3:3" ht="15.75" customHeight="1">
      <c r="C967" s="121"/>
    </row>
    <row r="968" spans="3:3" ht="15.75" customHeight="1">
      <c r="C968" s="121"/>
    </row>
    <row r="969" spans="3:3" ht="15.75" customHeight="1">
      <c r="C969" s="121"/>
    </row>
    <row r="970" spans="3:3" ht="15.75" customHeight="1">
      <c r="C970" s="121"/>
    </row>
    <row r="971" spans="3:3" ht="15.75" customHeight="1">
      <c r="C971" s="121"/>
    </row>
    <row r="972" spans="3:3" ht="15.75" customHeight="1">
      <c r="C972" s="121"/>
    </row>
    <row r="973" spans="3:3" ht="15.75" customHeight="1">
      <c r="C973" s="121"/>
    </row>
    <row r="974" spans="3:3" ht="15.75" customHeight="1">
      <c r="C974" s="121"/>
    </row>
    <row r="975" spans="3:3" ht="15.75" customHeight="1">
      <c r="C975" s="121"/>
    </row>
    <row r="976" spans="3:3" ht="15.75" customHeight="1">
      <c r="C976" s="121"/>
    </row>
    <row r="977" spans="3:3" ht="15.75" customHeight="1">
      <c r="C977" s="121"/>
    </row>
    <row r="978" spans="3:3" ht="15.75" customHeight="1">
      <c r="C978" s="121"/>
    </row>
    <row r="979" spans="3:3" ht="15.75" customHeight="1">
      <c r="C979" s="121"/>
    </row>
    <row r="980" spans="3:3" ht="15.75" customHeight="1">
      <c r="C980" s="121"/>
    </row>
    <row r="981" spans="3:3" ht="15.75" customHeight="1">
      <c r="C981" s="121"/>
    </row>
    <row r="982" spans="3:3" ht="15.75" customHeight="1">
      <c r="C982" s="121"/>
    </row>
    <row r="983" spans="3:3" ht="15.75" customHeight="1">
      <c r="C983" s="121"/>
    </row>
    <row r="984" spans="3:3" ht="15.75" customHeight="1">
      <c r="C984" s="121"/>
    </row>
    <row r="985" spans="3:3" ht="15.75" customHeight="1">
      <c r="C985" s="121"/>
    </row>
    <row r="986" spans="3:3" ht="15.75" customHeight="1">
      <c r="C986" s="121"/>
    </row>
    <row r="987" spans="3:3" ht="15.75" customHeight="1">
      <c r="C987" s="121"/>
    </row>
    <row r="988" spans="3:3" ht="15.75" customHeight="1">
      <c r="C988" s="121"/>
    </row>
    <row r="989" spans="3:3" ht="15.75" customHeight="1">
      <c r="C989" s="121"/>
    </row>
    <row r="990" spans="3:3" ht="15.75" customHeight="1">
      <c r="C990" s="121"/>
    </row>
    <row r="991" spans="3:3" ht="15.75" customHeight="1">
      <c r="C991" s="121"/>
    </row>
    <row r="992" spans="3:3" ht="15.75" customHeight="1">
      <c r="C992" s="121"/>
    </row>
    <row r="993" spans="3:3" ht="15.75" customHeight="1">
      <c r="C993" s="121"/>
    </row>
    <row r="994" spans="3:3" ht="15.75" customHeight="1">
      <c r="C994" s="121"/>
    </row>
  </sheetData>
  <mergeCells count="2">
    <mergeCell ref="C1:F2"/>
    <mergeCell ref="C34:F35"/>
  </mergeCells>
  <pageMargins left="0.75" right="0.75" top="1" bottom="1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1014"/>
  <sheetViews>
    <sheetView workbookViewId="0">
      <pane ySplit="15" topLeftCell="B16" activePane="bottomLeft" state="frozen"/>
      <selection pane="bottomLeft" activeCell="I16" sqref="I16"/>
    </sheetView>
  </sheetViews>
  <sheetFormatPr defaultColWidth="14.42578125" defaultRowHeight="15" customHeight="1"/>
  <cols>
    <col min="8" max="8" width="14.42578125" style="122"/>
    <col min="11" max="20" width="14.42578125" style="122"/>
  </cols>
  <sheetData>
    <row r="1" spans="1:14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>
      <c r="A2" s="263" t="s">
        <v>250</v>
      </c>
      <c r="B2" s="123">
        <f>Amort_Immobilisation!G12+Amort_Immobilisation!G21+Amort_Immobilisation!G30</f>
        <v>37300000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4">
      <c r="A3" s="263" t="s">
        <v>251</v>
      </c>
      <c r="B3" s="124">
        <v>60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spans="1:14">
      <c r="A4" s="263" t="s">
        <v>252</v>
      </c>
      <c r="B4" s="125">
        <v>0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5" spans="1:14">
      <c r="A5" s="263" t="s">
        <v>253</v>
      </c>
      <c r="B5" s="264">
        <f>Hypotheses!F23</f>
        <v>9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</row>
    <row r="6" spans="1:14">
      <c r="A6" s="126" t="s">
        <v>254</v>
      </c>
      <c r="B6" s="127">
        <f>IF(B4=0,-PMT(B9,B3,B2),-PMT(B9,B3-B4,B2))</f>
        <v>802276.92639607925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</row>
    <row r="7" spans="1:14">
      <c r="A7" s="263" t="s">
        <v>255</v>
      </c>
      <c r="B7" s="128">
        <v>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</row>
    <row r="8" spans="1:14">
      <c r="A8" s="263" t="s">
        <v>256</v>
      </c>
      <c r="B8" s="129">
        <v>17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</row>
    <row r="9" spans="1:14">
      <c r="A9" s="72" t="s">
        <v>257</v>
      </c>
      <c r="B9" s="265">
        <f>((B5/100)*(1+B8/100)+B7/100)/12</f>
        <v>8.7749999999999998E-3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</row>
    <row r="10" spans="1:14">
      <c r="A10" s="263"/>
      <c r="B10" s="26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</row>
    <row r="11" spans="1:14">
      <c r="A11" s="266" t="s">
        <v>258</v>
      </c>
      <c r="B11" s="267">
        <f>IF(B4=0,0,(1+B8/100)*(B2*B5/100)/12)</f>
        <v>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</row>
    <row r="12" spans="1:14">
      <c r="A12" s="72" t="s">
        <v>259</v>
      </c>
      <c r="B12" s="268">
        <f>+B6*B3</f>
        <v>48136615.583764754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</row>
    <row r="13" spans="1:14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</row>
    <row r="14" spans="1:14">
      <c r="A14" s="72" t="s">
        <v>260</v>
      </c>
      <c r="B14" s="72"/>
      <c r="C14" s="72" t="s">
        <v>261</v>
      </c>
      <c r="D14" s="72" t="s">
        <v>262</v>
      </c>
      <c r="E14" s="72" t="s">
        <v>263</v>
      </c>
      <c r="F14" s="72" t="s">
        <v>264</v>
      </c>
      <c r="G14" s="72" t="s">
        <v>265</v>
      </c>
      <c r="H14" s="72"/>
      <c r="I14" s="72"/>
      <c r="J14" s="72"/>
      <c r="K14" s="72"/>
      <c r="L14" s="72"/>
      <c r="M14" s="72"/>
      <c r="N14" s="72"/>
    </row>
    <row r="15" spans="1:14">
      <c r="A15" s="269"/>
      <c r="B15" s="269"/>
      <c r="C15" s="269"/>
      <c r="D15" s="269"/>
      <c r="E15" s="269"/>
      <c r="F15" s="269"/>
      <c r="G15" s="270">
        <f>+B2</f>
        <v>37300000</v>
      </c>
      <c r="H15" s="72"/>
      <c r="I15" s="72"/>
      <c r="J15" s="72"/>
      <c r="K15" s="72"/>
      <c r="L15" s="72"/>
      <c r="M15" s="72"/>
      <c r="N15" s="72"/>
    </row>
    <row r="16" spans="1:14">
      <c r="A16" s="271">
        <v>1</v>
      </c>
      <c r="B16" s="272"/>
      <c r="C16" s="273">
        <f t="shared" ref="C16:C75" si="0">+F16-D16-E16</f>
        <v>474969.42639607925</v>
      </c>
      <c r="D16" s="273">
        <f t="shared" ref="D16:D75" si="1">+G15*$B$5/1200</f>
        <v>279750</v>
      </c>
      <c r="E16" s="273">
        <f t="shared" ref="E16:E75" si="2">+D16*$B$8/100</f>
        <v>47557.5</v>
      </c>
      <c r="F16" s="273">
        <f t="shared" ref="F16:F75" si="3">+$B$6</f>
        <v>802276.92639607925</v>
      </c>
      <c r="G16" s="274">
        <f t="shared" ref="G16:G75" si="4">+G15-C16</f>
        <v>36825030.573603921</v>
      </c>
      <c r="H16" s="72"/>
      <c r="I16" s="130"/>
      <c r="J16" s="130">
        <f>Hypotheses!G5</f>
        <v>2025</v>
      </c>
      <c r="K16" s="130">
        <f>Hypotheses!H5</f>
        <v>2026</v>
      </c>
      <c r="L16" s="130">
        <f>Hypotheses!I5</f>
        <v>2027</v>
      </c>
      <c r="M16" s="130">
        <f>Hypotheses!J5</f>
        <v>2028</v>
      </c>
      <c r="N16" s="130">
        <f>Hypotheses!K5</f>
        <v>2029</v>
      </c>
    </row>
    <row r="17" spans="1:14">
      <c r="A17" s="275">
        <v>2</v>
      </c>
      <c r="B17" s="266"/>
      <c r="C17" s="276">
        <f t="shared" si="0"/>
        <v>479137.28311270475</v>
      </c>
      <c r="D17" s="276">
        <f t="shared" si="1"/>
        <v>276187.72930202942</v>
      </c>
      <c r="E17" s="276">
        <f t="shared" si="2"/>
        <v>46951.913981344995</v>
      </c>
      <c r="F17" s="276">
        <f t="shared" si="3"/>
        <v>802276.92639607925</v>
      </c>
      <c r="G17" s="277">
        <f t="shared" si="4"/>
        <v>36345893.290491216</v>
      </c>
      <c r="H17" s="72"/>
      <c r="I17" s="131" t="s">
        <v>266</v>
      </c>
      <c r="J17" s="132">
        <f>SUM(C16:C27)</f>
        <v>5982918.819978537</v>
      </c>
      <c r="K17" s="132">
        <f>SUM(C28:C39)</f>
        <v>6644232.7794473656</v>
      </c>
      <c r="L17" s="132">
        <f>SUM(C40:C51)</f>
        <v>7378644.1962187951</v>
      </c>
      <c r="M17" s="132">
        <f>SUM(C52:C63)</f>
        <v>8194232.8003327046</v>
      </c>
      <c r="N17" s="132">
        <f>SUM(C64:C75)</f>
        <v>9099971.4040225986</v>
      </c>
    </row>
    <row r="18" spans="1:14">
      <c r="A18" s="275">
        <v>3</v>
      </c>
      <c r="B18" s="266"/>
      <c r="C18" s="276">
        <f t="shared" si="0"/>
        <v>483341.71277201886</v>
      </c>
      <c r="D18" s="276">
        <f t="shared" si="1"/>
        <v>272594.19967868412</v>
      </c>
      <c r="E18" s="276">
        <f t="shared" si="2"/>
        <v>46341.013945376297</v>
      </c>
      <c r="F18" s="278">
        <f t="shared" si="3"/>
        <v>802276.92639607925</v>
      </c>
      <c r="G18" s="277">
        <f t="shared" si="4"/>
        <v>35862551.577719197</v>
      </c>
      <c r="H18" s="72"/>
      <c r="I18" s="131" t="s">
        <v>267</v>
      </c>
      <c r="J18" s="132">
        <f>SUM(D16:D27)+SUM(E16:E27)</f>
        <v>3644404.2967744134</v>
      </c>
      <c r="K18" s="132">
        <f>SUM(D28:D39)+SUM(E28:E39)</f>
        <v>2983090.3373055868</v>
      </c>
      <c r="L18" s="132">
        <f>SUM(D40:D51)+SUM(E40:E51)</f>
        <v>2248678.9205341553</v>
      </c>
      <c r="M18" s="132">
        <f>SUM(D52:D63)+SUM(E52:E63)</f>
        <v>1433090.3164202468</v>
      </c>
      <c r="N18" s="132">
        <f>SUM(D64:D75)+SUM(E64:E75)</f>
        <v>527351.7127303523</v>
      </c>
    </row>
    <row r="19" spans="1:14">
      <c r="A19" s="275">
        <v>4</v>
      </c>
      <c r="B19" s="266"/>
      <c r="C19" s="276">
        <f t="shared" si="0"/>
        <v>487583.0363015933</v>
      </c>
      <c r="D19" s="276">
        <f t="shared" si="1"/>
        <v>268969.136832894</v>
      </c>
      <c r="E19" s="276">
        <f t="shared" si="2"/>
        <v>45724.753261591977</v>
      </c>
      <c r="F19" s="276">
        <f t="shared" si="3"/>
        <v>802276.92639607925</v>
      </c>
      <c r="G19" s="277">
        <f t="shared" si="4"/>
        <v>35374968.541417606</v>
      </c>
      <c r="H19" s="72"/>
      <c r="I19" s="339"/>
      <c r="J19" s="339"/>
      <c r="K19" s="72"/>
      <c r="L19" s="72"/>
      <c r="M19" s="72"/>
      <c r="N19" s="72"/>
    </row>
    <row r="20" spans="1:14">
      <c r="A20" s="275">
        <v>5</v>
      </c>
      <c r="B20" s="266"/>
      <c r="C20" s="276">
        <f t="shared" si="0"/>
        <v>491861.57744513982</v>
      </c>
      <c r="D20" s="276">
        <f t="shared" si="1"/>
        <v>265312.26406063203</v>
      </c>
      <c r="E20" s="276">
        <f t="shared" si="2"/>
        <v>45103.084890307451</v>
      </c>
      <c r="F20" s="278">
        <f t="shared" si="3"/>
        <v>802276.92639607925</v>
      </c>
      <c r="G20" s="277">
        <f t="shared" si="4"/>
        <v>34883106.963972464</v>
      </c>
      <c r="H20" s="72"/>
      <c r="I20" s="339"/>
      <c r="J20" s="339"/>
      <c r="K20" s="72"/>
      <c r="L20" s="72"/>
      <c r="M20" s="72"/>
      <c r="N20" s="72"/>
    </row>
    <row r="21" spans="1:14">
      <c r="A21" s="275">
        <v>6</v>
      </c>
      <c r="B21" s="266"/>
      <c r="C21" s="276">
        <f t="shared" si="0"/>
        <v>496177.66278722085</v>
      </c>
      <c r="D21" s="276">
        <f t="shared" si="1"/>
        <v>261623.30222979348</v>
      </c>
      <c r="E21" s="276">
        <f t="shared" si="2"/>
        <v>44475.961379064887</v>
      </c>
      <c r="F21" s="276">
        <f t="shared" si="3"/>
        <v>802276.92639607925</v>
      </c>
      <c r="G21" s="277">
        <f t="shared" si="4"/>
        <v>34386929.301185243</v>
      </c>
      <c r="H21" s="72"/>
      <c r="I21" s="339"/>
      <c r="J21" s="339"/>
      <c r="K21" s="72"/>
      <c r="L21" s="72"/>
      <c r="M21" s="72"/>
      <c r="N21" s="72"/>
    </row>
    <row r="22" spans="1:14">
      <c r="A22" s="275">
        <v>7</v>
      </c>
      <c r="B22" s="266"/>
      <c r="C22" s="276">
        <f t="shared" si="0"/>
        <v>500531.62177817879</v>
      </c>
      <c r="D22" s="276">
        <f t="shared" si="1"/>
        <v>257901.96975888932</v>
      </c>
      <c r="E22" s="276">
        <f t="shared" si="2"/>
        <v>43843.334859011185</v>
      </c>
      <c r="F22" s="278">
        <f t="shared" si="3"/>
        <v>802276.92639607925</v>
      </c>
      <c r="G22" s="277">
        <f t="shared" si="4"/>
        <v>33886397.679407068</v>
      </c>
      <c r="H22" s="72"/>
      <c r="I22" s="339"/>
      <c r="J22" s="339"/>
      <c r="K22" s="72"/>
      <c r="L22" s="72"/>
      <c r="M22" s="72"/>
      <c r="N22" s="72"/>
    </row>
    <row r="23" spans="1:14">
      <c r="A23" s="275">
        <v>8</v>
      </c>
      <c r="B23" s="266"/>
      <c r="C23" s="276">
        <f t="shared" si="0"/>
        <v>504923.78675928217</v>
      </c>
      <c r="D23" s="276">
        <f t="shared" si="1"/>
        <v>254147.98259555301</v>
      </c>
      <c r="E23" s="276">
        <f t="shared" si="2"/>
        <v>43205.157041244012</v>
      </c>
      <c r="F23" s="276">
        <f t="shared" si="3"/>
        <v>802276.92639607925</v>
      </c>
      <c r="G23" s="277">
        <f t="shared" si="4"/>
        <v>33381473.892647784</v>
      </c>
      <c r="H23" s="72"/>
      <c r="I23" s="339"/>
      <c r="J23" s="339"/>
      <c r="K23" s="72"/>
      <c r="L23" s="72"/>
      <c r="M23" s="72"/>
      <c r="N23" s="72"/>
    </row>
    <row r="24" spans="1:14">
      <c r="A24" s="275">
        <v>9</v>
      </c>
      <c r="B24" s="266"/>
      <c r="C24" s="276">
        <f t="shared" si="0"/>
        <v>509354.49298809492</v>
      </c>
      <c r="D24" s="276">
        <f t="shared" si="1"/>
        <v>250361.05419485839</v>
      </c>
      <c r="E24" s="276">
        <f t="shared" si="2"/>
        <v>42561.379213125932</v>
      </c>
      <c r="F24" s="278">
        <f t="shared" si="3"/>
        <v>802276.92639607925</v>
      </c>
      <c r="G24" s="277">
        <f t="shared" si="4"/>
        <v>32872119.39965969</v>
      </c>
      <c r="H24" s="72"/>
      <c r="I24" s="339"/>
      <c r="J24" s="339"/>
      <c r="K24" s="72"/>
      <c r="L24" s="72"/>
      <c r="M24" s="72"/>
      <c r="N24" s="72"/>
    </row>
    <row r="25" spans="1:14">
      <c r="A25" s="275">
        <v>10</v>
      </c>
      <c r="B25" s="266"/>
      <c r="C25" s="276">
        <f t="shared" si="0"/>
        <v>513824.07866406546</v>
      </c>
      <c r="D25" s="276">
        <f t="shared" si="1"/>
        <v>246540.89549744764</v>
      </c>
      <c r="E25" s="276">
        <f t="shared" si="2"/>
        <v>41911.952234566103</v>
      </c>
      <c r="F25" s="276">
        <f t="shared" si="3"/>
        <v>802276.92639607925</v>
      </c>
      <c r="G25" s="277">
        <f t="shared" si="4"/>
        <v>32358295.320995625</v>
      </c>
      <c r="H25" s="72"/>
      <c r="I25" s="339"/>
      <c r="J25" s="339"/>
      <c r="K25" s="72"/>
      <c r="L25" s="72"/>
      <c r="M25" s="72"/>
      <c r="N25" s="72"/>
    </row>
    <row r="26" spans="1:14">
      <c r="A26" s="275">
        <v>11</v>
      </c>
      <c r="B26" s="266"/>
      <c r="C26" s="276">
        <f t="shared" si="0"/>
        <v>518332.88495434268</v>
      </c>
      <c r="D26" s="276">
        <f t="shared" si="1"/>
        <v>242687.21490746716</v>
      </c>
      <c r="E26" s="276">
        <f t="shared" si="2"/>
        <v>41256.826534269421</v>
      </c>
      <c r="F26" s="278">
        <f t="shared" si="3"/>
        <v>802276.92639607925</v>
      </c>
      <c r="G26" s="277">
        <f t="shared" si="4"/>
        <v>31839962.436041281</v>
      </c>
      <c r="H26" s="72"/>
      <c r="I26" s="339"/>
      <c r="J26" s="339"/>
      <c r="K26" s="72"/>
      <c r="L26" s="72"/>
      <c r="M26" s="72"/>
      <c r="N26" s="72"/>
    </row>
    <row r="27" spans="1:14">
      <c r="A27" s="279">
        <v>12</v>
      </c>
      <c r="B27" s="280"/>
      <c r="C27" s="281">
        <f t="shared" si="0"/>
        <v>522881.25601981697</v>
      </c>
      <c r="D27" s="281">
        <f t="shared" si="1"/>
        <v>238799.71827030962</v>
      </c>
      <c r="E27" s="281">
        <f t="shared" si="2"/>
        <v>40595.952105952638</v>
      </c>
      <c r="F27" s="281">
        <f t="shared" si="3"/>
        <v>802276.92639607925</v>
      </c>
      <c r="G27" s="282">
        <f t="shared" si="4"/>
        <v>31317081.180021465</v>
      </c>
      <c r="H27" s="72"/>
      <c r="I27" s="339"/>
      <c r="J27" s="339"/>
      <c r="K27" s="72"/>
      <c r="L27" s="72"/>
      <c r="M27" s="72"/>
      <c r="N27" s="72"/>
    </row>
    <row r="28" spans="1:14">
      <c r="A28" s="271">
        <v>13</v>
      </c>
      <c r="B28" s="272"/>
      <c r="C28" s="273">
        <f t="shared" si="0"/>
        <v>527469.53904139088</v>
      </c>
      <c r="D28" s="273">
        <f t="shared" si="1"/>
        <v>234878.10885016099</v>
      </c>
      <c r="E28" s="273">
        <f t="shared" si="2"/>
        <v>39929.27850452737</v>
      </c>
      <c r="F28" s="283">
        <f t="shared" si="3"/>
        <v>802276.92639607925</v>
      </c>
      <c r="G28" s="274">
        <f t="shared" si="4"/>
        <v>30789611.640980072</v>
      </c>
      <c r="H28" s="72"/>
      <c r="I28" s="339"/>
      <c r="J28" s="339"/>
      <c r="K28" s="72"/>
      <c r="L28" s="72"/>
      <c r="M28" s="72"/>
      <c r="N28" s="72"/>
    </row>
    <row r="29" spans="1:14">
      <c r="A29" s="275">
        <v>14</v>
      </c>
      <c r="B29" s="266"/>
      <c r="C29" s="276">
        <f t="shared" si="0"/>
        <v>532098.08424647909</v>
      </c>
      <c r="D29" s="276">
        <f t="shared" si="1"/>
        <v>230922.08730735054</v>
      </c>
      <c r="E29" s="276">
        <f t="shared" si="2"/>
        <v>39256.754842249589</v>
      </c>
      <c r="F29" s="276">
        <f t="shared" si="3"/>
        <v>802276.92639607925</v>
      </c>
      <c r="G29" s="277">
        <f t="shared" si="4"/>
        <v>30257513.556733593</v>
      </c>
      <c r="H29" s="72"/>
      <c r="I29" s="339"/>
      <c r="J29" s="339"/>
      <c r="K29" s="72"/>
      <c r="L29" s="72"/>
      <c r="M29" s="72"/>
      <c r="N29" s="72"/>
    </row>
    <row r="30" spans="1:14">
      <c r="A30" s="275">
        <v>15</v>
      </c>
      <c r="B30" s="266"/>
      <c r="C30" s="276">
        <f t="shared" si="0"/>
        <v>536767.244935742</v>
      </c>
      <c r="D30" s="276">
        <f t="shared" si="1"/>
        <v>226931.35167550197</v>
      </c>
      <c r="E30" s="276">
        <f t="shared" si="2"/>
        <v>38578.329784835332</v>
      </c>
      <c r="F30" s="278">
        <f t="shared" si="3"/>
        <v>802276.92639607925</v>
      </c>
      <c r="G30" s="277">
        <f t="shared" si="4"/>
        <v>29720746.31179785</v>
      </c>
      <c r="H30" s="72"/>
      <c r="I30" s="339"/>
      <c r="J30" s="339"/>
      <c r="K30" s="72"/>
      <c r="L30" s="72"/>
      <c r="M30" s="72"/>
      <c r="N30" s="72"/>
    </row>
    <row r="31" spans="1:14">
      <c r="A31" s="275">
        <v>16</v>
      </c>
      <c r="B31" s="266"/>
      <c r="C31" s="276">
        <f t="shared" si="0"/>
        <v>541477.37751005311</v>
      </c>
      <c r="D31" s="276">
        <f t="shared" si="1"/>
        <v>222905.59733848387</v>
      </c>
      <c r="E31" s="276">
        <f t="shared" si="2"/>
        <v>37893.95154754226</v>
      </c>
      <c r="F31" s="276">
        <f t="shared" si="3"/>
        <v>802276.92639607925</v>
      </c>
      <c r="G31" s="277">
        <f t="shared" si="4"/>
        <v>29179268.934287798</v>
      </c>
      <c r="H31" s="72"/>
      <c r="I31" s="72"/>
      <c r="J31" s="72"/>
      <c r="K31" s="72"/>
      <c r="L31" s="72"/>
      <c r="M31" s="72"/>
      <c r="N31" s="72"/>
    </row>
    <row r="32" spans="1:14">
      <c r="A32" s="275">
        <v>17</v>
      </c>
      <c r="B32" s="266"/>
      <c r="C32" s="276">
        <f t="shared" si="0"/>
        <v>546228.8414977038</v>
      </c>
      <c r="D32" s="276">
        <f t="shared" si="1"/>
        <v>218844.51700715849</v>
      </c>
      <c r="E32" s="276">
        <f t="shared" si="2"/>
        <v>37203.567891216946</v>
      </c>
      <c r="F32" s="278">
        <f t="shared" si="3"/>
        <v>802276.92639607925</v>
      </c>
      <c r="G32" s="277">
        <f t="shared" si="4"/>
        <v>28633040.092790093</v>
      </c>
      <c r="H32" s="72"/>
      <c r="I32" s="72"/>
      <c r="J32" s="72"/>
      <c r="K32" s="72"/>
      <c r="L32" s="72"/>
      <c r="M32" s="72"/>
      <c r="N32" s="72"/>
    </row>
    <row r="33" spans="1:10">
      <c r="A33" s="275">
        <v>18</v>
      </c>
      <c r="B33" s="266"/>
      <c r="C33" s="276">
        <f t="shared" si="0"/>
        <v>551021.99958184618</v>
      </c>
      <c r="D33" s="276">
        <f t="shared" si="1"/>
        <v>214747.80069592569</v>
      </c>
      <c r="E33" s="276">
        <f t="shared" si="2"/>
        <v>36507.126118307366</v>
      </c>
      <c r="F33" s="276">
        <f t="shared" si="3"/>
        <v>802276.92639607925</v>
      </c>
      <c r="G33" s="277">
        <f t="shared" si="4"/>
        <v>28082018.093208246</v>
      </c>
      <c r="H33" s="72"/>
      <c r="I33" s="72"/>
      <c r="J33" s="72"/>
    </row>
    <row r="34" spans="1:10">
      <c r="A34" s="275">
        <v>19</v>
      </c>
      <c r="B34" s="266"/>
      <c r="C34" s="276">
        <f t="shared" si="0"/>
        <v>555857.21762817691</v>
      </c>
      <c r="D34" s="276">
        <f t="shared" si="1"/>
        <v>210615.13569906185</v>
      </c>
      <c r="E34" s="276">
        <f t="shared" si="2"/>
        <v>35804.573068840516</v>
      </c>
      <c r="F34" s="278">
        <f t="shared" si="3"/>
        <v>802276.92639607925</v>
      </c>
      <c r="G34" s="277">
        <f t="shared" si="4"/>
        <v>27526160.875580069</v>
      </c>
      <c r="H34" s="72"/>
      <c r="I34" s="72"/>
      <c r="J34" s="72"/>
    </row>
    <row r="35" spans="1:10">
      <c r="A35" s="275">
        <v>20</v>
      </c>
      <c r="B35" s="266"/>
      <c r="C35" s="276">
        <f t="shared" si="0"/>
        <v>560734.86471286416</v>
      </c>
      <c r="D35" s="276">
        <f t="shared" si="1"/>
        <v>206446.20656685051</v>
      </c>
      <c r="E35" s="276">
        <f t="shared" si="2"/>
        <v>35095.85511636459</v>
      </c>
      <c r="F35" s="276">
        <f t="shared" si="3"/>
        <v>802276.92639607925</v>
      </c>
      <c r="G35" s="277">
        <f t="shared" si="4"/>
        <v>26965426.010867205</v>
      </c>
      <c r="H35" s="72"/>
      <c r="I35" s="72"/>
      <c r="J35" s="72"/>
    </row>
    <row r="36" spans="1:10">
      <c r="A36" s="275">
        <v>21</v>
      </c>
      <c r="B36" s="266"/>
      <c r="C36" s="276">
        <f t="shared" si="0"/>
        <v>565655.31315071951</v>
      </c>
      <c r="D36" s="276">
        <f t="shared" si="1"/>
        <v>202240.69508150403</v>
      </c>
      <c r="E36" s="276">
        <f t="shared" si="2"/>
        <v>34380.918163855684</v>
      </c>
      <c r="F36" s="278">
        <f t="shared" si="3"/>
        <v>802276.92639607925</v>
      </c>
      <c r="G36" s="277">
        <f t="shared" si="4"/>
        <v>26399770.697716486</v>
      </c>
      <c r="H36" s="72"/>
      <c r="I36" s="72"/>
      <c r="J36" s="72"/>
    </row>
    <row r="37" spans="1:10">
      <c r="A37" s="275">
        <v>22</v>
      </c>
      <c r="B37" s="266"/>
      <c r="C37" s="276">
        <f t="shared" si="0"/>
        <v>570618.93852361711</v>
      </c>
      <c r="D37" s="276">
        <f t="shared" si="1"/>
        <v>197998.28023287363</v>
      </c>
      <c r="E37" s="276">
        <f t="shared" si="2"/>
        <v>33659.707639588516</v>
      </c>
      <c r="F37" s="276">
        <f t="shared" si="3"/>
        <v>802276.92639607925</v>
      </c>
      <c r="G37" s="277">
        <f t="shared" si="4"/>
        <v>25829151.759192869</v>
      </c>
      <c r="H37" s="72"/>
      <c r="I37" s="72"/>
      <c r="J37" s="72"/>
    </row>
    <row r="38" spans="1:10">
      <c r="A38" s="275">
        <v>23</v>
      </c>
      <c r="B38" s="266"/>
      <c r="C38" s="276">
        <f t="shared" si="0"/>
        <v>575626.11970916181</v>
      </c>
      <c r="D38" s="276">
        <f t="shared" si="1"/>
        <v>193718.63819394654</v>
      </c>
      <c r="E38" s="276">
        <f t="shared" si="2"/>
        <v>32932.168492970908</v>
      </c>
      <c r="F38" s="278">
        <f t="shared" si="3"/>
        <v>802276.92639607925</v>
      </c>
      <c r="G38" s="277">
        <f t="shared" si="4"/>
        <v>25253525.639483709</v>
      </c>
      <c r="H38" s="72"/>
      <c r="I38" s="72"/>
      <c r="J38" s="72"/>
    </row>
    <row r="39" spans="1:10">
      <c r="A39" s="279">
        <v>24</v>
      </c>
      <c r="B39" s="280"/>
      <c r="C39" s="281">
        <f t="shared" si="0"/>
        <v>580677.23890960973</v>
      </c>
      <c r="D39" s="281">
        <f t="shared" si="1"/>
        <v>189401.44229612782</v>
      </c>
      <c r="E39" s="281">
        <f t="shared" si="2"/>
        <v>32198.245190341728</v>
      </c>
      <c r="F39" s="281">
        <f t="shared" si="3"/>
        <v>802276.92639607925</v>
      </c>
      <c r="G39" s="282">
        <f t="shared" si="4"/>
        <v>24672848.400574099</v>
      </c>
      <c r="H39" s="72"/>
      <c r="I39" s="72"/>
      <c r="J39" s="72"/>
    </row>
    <row r="40" spans="1:10">
      <c r="A40" s="271">
        <v>25</v>
      </c>
      <c r="B40" s="272"/>
      <c r="C40" s="273">
        <f t="shared" si="0"/>
        <v>585772.68168104149</v>
      </c>
      <c r="D40" s="273">
        <f t="shared" si="1"/>
        <v>185046.36300430575</v>
      </c>
      <c r="E40" s="273">
        <f t="shared" si="2"/>
        <v>31457.881710731977</v>
      </c>
      <c r="F40" s="283">
        <f t="shared" si="3"/>
        <v>802276.92639607925</v>
      </c>
      <c r="G40" s="274">
        <f t="shared" si="4"/>
        <v>24087075.718893059</v>
      </c>
      <c r="H40" s="72"/>
      <c r="I40" s="72"/>
      <c r="J40" s="72"/>
    </row>
    <row r="41" spans="1:10">
      <c r="A41" s="275">
        <v>26</v>
      </c>
      <c r="B41" s="266"/>
      <c r="C41" s="276">
        <f t="shared" si="0"/>
        <v>590912.83696279267</v>
      </c>
      <c r="D41" s="276">
        <f t="shared" si="1"/>
        <v>180653.06789169792</v>
      </c>
      <c r="E41" s="276">
        <f t="shared" si="2"/>
        <v>30711.021541588645</v>
      </c>
      <c r="F41" s="276">
        <f t="shared" si="3"/>
        <v>802276.92639607925</v>
      </c>
      <c r="G41" s="277">
        <f t="shared" si="4"/>
        <v>23496162.881930266</v>
      </c>
      <c r="H41" s="72"/>
      <c r="I41" s="72"/>
      <c r="J41" s="72"/>
    </row>
    <row r="42" spans="1:10">
      <c r="A42" s="275">
        <v>27</v>
      </c>
      <c r="B42" s="266"/>
      <c r="C42" s="276">
        <f t="shared" si="0"/>
        <v>596098.09710714116</v>
      </c>
      <c r="D42" s="276">
        <f t="shared" si="1"/>
        <v>176221.22161447699</v>
      </c>
      <c r="E42" s="276">
        <f t="shared" si="2"/>
        <v>29957.607674461091</v>
      </c>
      <c r="F42" s="278">
        <f t="shared" si="3"/>
        <v>802276.92639607925</v>
      </c>
      <c r="G42" s="277">
        <f t="shared" si="4"/>
        <v>22900064.784823123</v>
      </c>
      <c r="H42" s="72"/>
      <c r="I42" s="72"/>
      <c r="J42" s="72"/>
    </row>
    <row r="43" spans="1:10">
      <c r="A43" s="275">
        <v>28</v>
      </c>
      <c r="B43" s="266"/>
      <c r="C43" s="276">
        <f t="shared" si="0"/>
        <v>601328.85790925636</v>
      </c>
      <c r="D43" s="276">
        <f t="shared" si="1"/>
        <v>171750.48588617341</v>
      </c>
      <c r="E43" s="276">
        <f t="shared" si="2"/>
        <v>29197.582600649479</v>
      </c>
      <c r="F43" s="276">
        <f t="shared" si="3"/>
        <v>802276.92639607925</v>
      </c>
      <c r="G43" s="277">
        <f t="shared" si="4"/>
        <v>22298735.926913869</v>
      </c>
      <c r="H43" s="72"/>
      <c r="I43" s="72"/>
      <c r="J43" s="72"/>
    </row>
    <row r="44" spans="1:10">
      <c r="A44" s="275">
        <v>29</v>
      </c>
      <c r="B44" s="266"/>
      <c r="C44" s="276">
        <f t="shared" si="0"/>
        <v>606605.51863741013</v>
      </c>
      <c r="D44" s="276">
        <f t="shared" si="1"/>
        <v>167240.51945185399</v>
      </c>
      <c r="E44" s="276">
        <f t="shared" si="2"/>
        <v>28430.888306815177</v>
      </c>
      <c r="F44" s="278">
        <f t="shared" si="3"/>
        <v>802276.92639607925</v>
      </c>
      <c r="G44" s="277">
        <f t="shared" si="4"/>
        <v>21692130.408276457</v>
      </c>
      <c r="H44" s="72"/>
      <c r="I44" s="72"/>
      <c r="J44" s="72"/>
    </row>
    <row r="45" spans="1:10">
      <c r="A45" s="275">
        <v>30</v>
      </c>
      <c r="B45" s="266"/>
      <c r="C45" s="276">
        <f t="shared" si="0"/>
        <v>611928.4820634533</v>
      </c>
      <c r="D45" s="276">
        <f t="shared" si="1"/>
        <v>162690.97806207344</v>
      </c>
      <c r="E45" s="276">
        <f t="shared" si="2"/>
        <v>27657.466270552482</v>
      </c>
      <c r="F45" s="276">
        <f t="shared" si="3"/>
        <v>802276.92639607925</v>
      </c>
      <c r="G45" s="277">
        <f t="shared" si="4"/>
        <v>21080201.926213004</v>
      </c>
      <c r="H45" s="72"/>
      <c r="I45" s="72"/>
      <c r="J45" s="72"/>
    </row>
    <row r="46" spans="1:10">
      <c r="A46" s="275">
        <v>31</v>
      </c>
      <c r="B46" s="266"/>
      <c r="C46" s="276">
        <f t="shared" si="0"/>
        <v>617298.15449356008</v>
      </c>
      <c r="D46" s="276">
        <f t="shared" si="1"/>
        <v>158101.51444659752</v>
      </c>
      <c r="E46" s="276">
        <f t="shared" si="2"/>
        <v>26877.257455921579</v>
      </c>
      <c r="F46" s="278">
        <f t="shared" si="3"/>
        <v>802276.92639607925</v>
      </c>
      <c r="G46" s="277">
        <f t="shared" si="4"/>
        <v>20462903.771719445</v>
      </c>
      <c r="H46" s="72"/>
      <c r="I46" s="72"/>
      <c r="J46" s="72"/>
    </row>
    <row r="47" spans="1:10">
      <c r="A47" s="275">
        <v>32</v>
      </c>
      <c r="B47" s="266"/>
      <c r="C47" s="276">
        <f t="shared" si="0"/>
        <v>622714.94579924108</v>
      </c>
      <c r="D47" s="276">
        <f t="shared" si="1"/>
        <v>153471.77828789584</v>
      </c>
      <c r="E47" s="276">
        <f t="shared" si="2"/>
        <v>26090.202308942295</v>
      </c>
      <c r="F47" s="276">
        <f t="shared" si="3"/>
        <v>802276.92639607925</v>
      </c>
      <c r="G47" s="277">
        <f t="shared" si="4"/>
        <v>19840188.825920202</v>
      </c>
      <c r="H47" s="72"/>
      <c r="I47" s="72"/>
      <c r="J47" s="72"/>
    </row>
    <row r="48" spans="1:10">
      <c r="A48" s="275">
        <v>33</v>
      </c>
      <c r="B48" s="266"/>
      <c r="C48" s="276">
        <f t="shared" si="0"/>
        <v>628179.26944862946</v>
      </c>
      <c r="D48" s="276">
        <f t="shared" si="1"/>
        <v>148801.41619440151</v>
      </c>
      <c r="E48" s="276">
        <f t="shared" si="2"/>
        <v>25296.24075304826</v>
      </c>
      <c r="F48" s="278">
        <f t="shared" si="3"/>
        <v>802276.92639607925</v>
      </c>
      <c r="G48" s="277">
        <f t="shared" si="4"/>
        <v>19212009.556471571</v>
      </c>
      <c r="H48" s="72"/>
      <c r="I48" s="72"/>
      <c r="J48" s="72"/>
    </row>
    <row r="49" spans="1:10">
      <c r="A49" s="275">
        <v>34</v>
      </c>
      <c r="B49" s="266"/>
      <c r="C49" s="276">
        <f t="shared" si="0"/>
        <v>633691.54253804125</v>
      </c>
      <c r="D49" s="276">
        <f t="shared" si="1"/>
        <v>144090.07167353679</v>
      </c>
      <c r="E49" s="276">
        <f t="shared" si="2"/>
        <v>24495.312184501254</v>
      </c>
      <c r="F49" s="276">
        <f t="shared" si="3"/>
        <v>802276.92639607925</v>
      </c>
      <c r="G49" s="277">
        <f t="shared" si="4"/>
        <v>18578318.013933532</v>
      </c>
      <c r="H49" s="72"/>
      <c r="I49" s="72"/>
      <c r="J49" s="72"/>
    </row>
    <row r="50" spans="1:10">
      <c r="A50" s="275">
        <v>35</v>
      </c>
      <c r="B50" s="266"/>
      <c r="C50" s="276">
        <f t="shared" si="0"/>
        <v>639252.1858238125</v>
      </c>
      <c r="D50" s="276">
        <f t="shared" si="1"/>
        <v>139337.3851045015</v>
      </c>
      <c r="E50" s="276">
        <f t="shared" si="2"/>
        <v>23687.355467765257</v>
      </c>
      <c r="F50" s="278">
        <f t="shared" si="3"/>
        <v>802276.92639607925</v>
      </c>
      <c r="G50" s="277">
        <f t="shared" si="4"/>
        <v>17939065.828109719</v>
      </c>
      <c r="H50" s="72"/>
      <c r="I50" s="72"/>
      <c r="J50" s="72"/>
    </row>
    <row r="51" spans="1:10">
      <c r="A51" s="279">
        <v>36</v>
      </c>
      <c r="B51" s="280"/>
      <c r="C51" s="281">
        <f t="shared" si="0"/>
        <v>644861.62375441648</v>
      </c>
      <c r="D51" s="281">
        <f t="shared" si="1"/>
        <v>134542.99371082289</v>
      </c>
      <c r="E51" s="281">
        <f t="shared" si="2"/>
        <v>22872.308930839892</v>
      </c>
      <c r="F51" s="281">
        <f t="shared" si="3"/>
        <v>802276.92639607925</v>
      </c>
      <c r="G51" s="282">
        <f t="shared" si="4"/>
        <v>17294204.204355303</v>
      </c>
      <c r="H51" s="72"/>
      <c r="I51" s="72"/>
      <c r="J51" s="72"/>
    </row>
    <row r="52" spans="1:10">
      <c r="A52" s="271">
        <v>37</v>
      </c>
      <c r="B52" s="272"/>
      <c r="C52" s="273">
        <f t="shared" si="0"/>
        <v>650520.28450286144</v>
      </c>
      <c r="D52" s="273">
        <f t="shared" si="1"/>
        <v>129706.53153266477</v>
      </c>
      <c r="E52" s="273">
        <f t="shared" si="2"/>
        <v>22050.110360553008</v>
      </c>
      <c r="F52" s="283">
        <f t="shared" si="3"/>
        <v>802276.92639607925</v>
      </c>
      <c r="G52" s="274">
        <f t="shared" si="4"/>
        <v>16643683.919852441</v>
      </c>
      <c r="H52" s="72"/>
      <c r="I52" s="72"/>
      <c r="J52" s="72"/>
    </row>
    <row r="53" spans="1:10">
      <c r="A53" s="275">
        <v>38</v>
      </c>
      <c r="B53" s="266"/>
      <c r="C53" s="276">
        <f t="shared" si="0"/>
        <v>656228.59999937401</v>
      </c>
      <c r="D53" s="276">
        <f t="shared" si="1"/>
        <v>124827.62939889332</v>
      </c>
      <c r="E53" s="276">
        <f t="shared" si="2"/>
        <v>21220.696997811865</v>
      </c>
      <c r="F53" s="276">
        <f t="shared" si="3"/>
        <v>802276.92639607925</v>
      </c>
      <c r="G53" s="277">
        <f t="shared" si="4"/>
        <v>15987455.319853067</v>
      </c>
      <c r="H53" s="72"/>
      <c r="I53" s="72"/>
      <c r="J53" s="72"/>
    </row>
    <row r="54" spans="1:10">
      <c r="A54" s="275">
        <v>39</v>
      </c>
      <c r="B54" s="266"/>
      <c r="C54" s="276">
        <f t="shared" si="0"/>
        <v>661987.00596436858</v>
      </c>
      <c r="D54" s="276">
        <f t="shared" si="1"/>
        <v>119905.914898898</v>
      </c>
      <c r="E54" s="276">
        <f t="shared" si="2"/>
        <v>20384.005532812662</v>
      </c>
      <c r="F54" s="278">
        <f t="shared" si="3"/>
        <v>802276.92639607925</v>
      </c>
      <c r="G54" s="277">
        <f t="shared" si="4"/>
        <v>15325468.313888699</v>
      </c>
      <c r="H54" s="72"/>
      <c r="I54" s="72"/>
      <c r="J54" s="72"/>
    </row>
    <row r="55" spans="1:10">
      <c r="A55" s="275">
        <v>40</v>
      </c>
      <c r="B55" s="266"/>
      <c r="C55" s="276">
        <f t="shared" si="0"/>
        <v>667795.941941706</v>
      </c>
      <c r="D55" s="276">
        <f t="shared" si="1"/>
        <v>114941.01235416524</v>
      </c>
      <c r="E55" s="276">
        <f t="shared" si="2"/>
        <v>19539.972100208091</v>
      </c>
      <c r="F55" s="276">
        <f t="shared" si="3"/>
        <v>802276.92639607925</v>
      </c>
      <c r="G55" s="277">
        <f t="shared" si="4"/>
        <v>14657672.371946992</v>
      </c>
      <c r="H55" s="72"/>
      <c r="I55" s="72"/>
      <c r="J55" s="72"/>
    </row>
    <row r="56" spans="1:10">
      <c r="A56" s="275">
        <v>41</v>
      </c>
      <c r="B56" s="266"/>
      <c r="C56" s="276">
        <f t="shared" si="0"/>
        <v>673655.85133224446</v>
      </c>
      <c r="D56" s="276">
        <f t="shared" si="1"/>
        <v>109932.54278960243</v>
      </c>
      <c r="E56" s="276">
        <f t="shared" si="2"/>
        <v>18688.532274232413</v>
      </c>
      <c r="F56" s="278">
        <f t="shared" si="3"/>
        <v>802276.92639607925</v>
      </c>
      <c r="G56" s="277">
        <f t="shared" si="4"/>
        <v>13984016.520614747</v>
      </c>
      <c r="H56" s="72"/>
      <c r="I56" s="72"/>
      <c r="J56" s="72"/>
    </row>
    <row r="57" spans="1:10">
      <c r="A57" s="275">
        <v>42</v>
      </c>
      <c r="B57" s="266"/>
      <c r="C57" s="276">
        <f t="shared" si="0"/>
        <v>679567.18142768485</v>
      </c>
      <c r="D57" s="276">
        <f t="shared" si="1"/>
        <v>104880.12390461061</v>
      </c>
      <c r="E57" s="276">
        <f t="shared" si="2"/>
        <v>17829.621063783801</v>
      </c>
      <c r="F57" s="276">
        <f t="shared" si="3"/>
        <v>802276.92639607925</v>
      </c>
      <c r="G57" s="277">
        <f t="shared" si="4"/>
        <v>13304449.339187061</v>
      </c>
      <c r="H57" s="72"/>
      <c r="I57" s="72"/>
      <c r="J57" s="72"/>
    </row>
    <row r="58" spans="1:10">
      <c r="A58" s="275">
        <v>43</v>
      </c>
      <c r="B58" s="266"/>
      <c r="C58" s="276">
        <f t="shared" si="0"/>
        <v>685530.38344471273</v>
      </c>
      <c r="D58" s="276">
        <f t="shared" si="1"/>
        <v>99783.370043902949</v>
      </c>
      <c r="E58" s="276">
        <f t="shared" si="2"/>
        <v>16963.1729074635</v>
      </c>
      <c r="F58" s="278">
        <f t="shared" si="3"/>
        <v>802276.92639607925</v>
      </c>
      <c r="G58" s="277">
        <f t="shared" si="4"/>
        <v>12618918.955742348</v>
      </c>
      <c r="H58" s="72"/>
      <c r="I58" s="72"/>
      <c r="J58" s="72"/>
    </row>
    <row r="59" spans="1:10">
      <c r="A59" s="275">
        <v>44</v>
      </c>
      <c r="B59" s="266"/>
      <c r="C59" s="276">
        <f t="shared" si="0"/>
        <v>691545.91255944013</v>
      </c>
      <c r="D59" s="276">
        <f t="shared" si="1"/>
        <v>94641.892168067614</v>
      </c>
      <c r="E59" s="276">
        <f t="shared" si="2"/>
        <v>16089.121668571495</v>
      </c>
      <c r="F59" s="276">
        <f t="shared" si="3"/>
        <v>802276.92639607925</v>
      </c>
      <c r="G59" s="277">
        <f t="shared" si="4"/>
        <v>11927373.043182908</v>
      </c>
      <c r="H59" s="72"/>
      <c r="I59" s="72"/>
      <c r="J59" s="72"/>
    </row>
    <row r="60" spans="1:10">
      <c r="A60" s="275">
        <v>45</v>
      </c>
      <c r="B60" s="266"/>
      <c r="C60" s="276">
        <f t="shared" si="0"/>
        <v>697614.22794214915</v>
      </c>
      <c r="D60" s="276">
        <f t="shared" si="1"/>
        <v>89455.297823871806</v>
      </c>
      <c r="E60" s="276">
        <f t="shared" si="2"/>
        <v>15207.400630058206</v>
      </c>
      <c r="F60" s="278">
        <f t="shared" si="3"/>
        <v>802276.92639607925</v>
      </c>
      <c r="G60" s="277">
        <f t="shared" si="4"/>
        <v>11229758.815240759</v>
      </c>
      <c r="H60" s="72"/>
      <c r="I60" s="72"/>
      <c r="J60" s="72"/>
    </row>
    <row r="61" spans="1:10">
      <c r="A61" s="275">
        <v>46</v>
      </c>
      <c r="B61" s="266"/>
      <c r="C61" s="276">
        <f t="shared" si="0"/>
        <v>703735.79279234167</v>
      </c>
      <c r="D61" s="276">
        <f t="shared" si="1"/>
        <v>84223.191114305693</v>
      </c>
      <c r="E61" s="276">
        <f t="shared" si="2"/>
        <v>14317.942489431969</v>
      </c>
      <c r="F61" s="276">
        <f t="shared" si="3"/>
        <v>802276.92639607925</v>
      </c>
      <c r="G61" s="277">
        <f t="shared" si="4"/>
        <v>10526023.022448417</v>
      </c>
      <c r="H61" s="72"/>
      <c r="I61" s="72"/>
      <c r="J61" s="72"/>
    </row>
    <row r="62" spans="1:10">
      <c r="A62" s="275">
        <v>47</v>
      </c>
      <c r="B62" s="266"/>
      <c r="C62" s="276">
        <f t="shared" si="0"/>
        <v>709911.07437409437</v>
      </c>
      <c r="D62" s="276">
        <f t="shared" si="1"/>
        <v>78945.172668363128</v>
      </c>
      <c r="E62" s="276">
        <f t="shared" si="2"/>
        <v>13420.679353621732</v>
      </c>
      <c r="F62" s="278">
        <f t="shared" si="3"/>
        <v>802276.92639607925</v>
      </c>
      <c r="G62" s="277">
        <f t="shared" si="4"/>
        <v>9816111.9480743222</v>
      </c>
      <c r="H62" s="72"/>
      <c r="I62" s="72"/>
      <c r="J62" s="72"/>
    </row>
    <row r="63" spans="1:10">
      <c r="A63" s="279">
        <f t="shared" ref="A63:A75" si="5">A62+1</f>
        <v>48</v>
      </c>
      <c r="B63" s="280"/>
      <c r="C63" s="281">
        <f t="shared" si="0"/>
        <v>716140.54405172705</v>
      </c>
      <c r="D63" s="281">
        <f t="shared" si="1"/>
        <v>73620.839610557421</v>
      </c>
      <c r="E63" s="281">
        <f t="shared" si="2"/>
        <v>12515.542733794762</v>
      </c>
      <c r="F63" s="281">
        <f t="shared" si="3"/>
        <v>802276.92639607925</v>
      </c>
      <c r="G63" s="282">
        <f t="shared" si="4"/>
        <v>9099971.4040225949</v>
      </c>
      <c r="H63" s="72"/>
      <c r="I63" s="72"/>
      <c r="J63" s="72"/>
    </row>
    <row r="64" spans="1:10">
      <c r="A64" s="271">
        <f t="shared" si="5"/>
        <v>49</v>
      </c>
      <c r="B64" s="272"/>
      <c r="C64" s="273">
        <f t="shared" si="0"/>
        <v>722424.67732578097</v>
      </c>
      <c r="D64" s="273">
        <f t="shared" si="1"/>
        <v>68249.785530169451</v>
      </c>
      <c r="E64" s="273">
        <f t="shared" si="2"/>
        <v>11602.463540128807</v>
      </c>
      <c r="F64" s="283">
        <f t="shared" si="3"/>
        <v>802276.92639607925</v>
      </c>
      <c r="G64" s="274">
        <f t="shared" si="4"/>
        <v>8377546.7266968135</v>
      </c>
      <c r="H64" s="72"/>
      <c r="I64" s="72"/>
      <c r="J64" s="72"/>
    </row>
    <row r="65" spans="1:10">
      <c r="A65" s="275">
        <f t="shared" si="5"/>
        <v>50</v>
      </c>
      <c r="B65" s="266"/>
      <c r="C65" s="276">
        <f t="shared" si="0"/>
        <v>728763.95386931475</v>
      </c>
      <c r="D65" s="276">
        <f t="shared" si="1"/>
        <v>62831.600450226106</v>
      </c>
      <c r="E65" s="276">
        <f t="shared" si="2"/>
        <v>10681.372076538439</v>
      </c>
      <c r="F65" s="276">
        <f t="shared" si="3"/>
        <v>802276.92639607925</v>
      </c>
      <c r="G65" s="277">
        <f t="shared" si="4"/>
        <v>7648782.7728274986</v>
      </c>
      <c r="H65" s="72"/>
      <c r="I65" s="72"/>
      <c r="J65" s="72"/>
    </row>
    <row r="66" spans="1:10">
      <c r="A66" s="275">
        <f t="shared" si="5"/>
        <v>51</v>
      </c>
      <c r="B66" s="266"/>
      <c r="C66" s="276">
        <f t="shared" si="0"/>
        <v>735158.85756451788</v>
      </c>
      <c r="D66" s="276">
        <f t="shared" si="1"/>
        <v>57365.870796206247</v>
      </c>
      <c r="E66" s="276">
        <f t="shared" si="2"/>
        <v>9752.1980353550625</v>
      </c>
      <c r="F66" s="278">
        <f t="shared" si="3"/>
        <v>802276.92639607925</v>
      </c>
      <c r="G66" s="277">
        <f t="shared" si="4"/>
        <v>6913623.9152629804</v>
      </c>
      <c r="H66" s="72"/>
      <c r="I66" s="72"/>
      <c r="J66" s="72"/>
    </row>
    <row r="67" spans="1:10">
      <c r="A67" s="275">
        <f t="shared" si="5"/>
        <v>52</v>
      </c>
      <c r="B67" s="266"/>
      <c r="C67" s="276">
        <f t="shared" si="0"/>
        <v>741609.87653964653</v>
      </c>
      <c r="D67" s="276">
        <f t="shared" si="1"/>
        <v>51852.179364472351</v>
      </c>
      <c r="E67" s="276">
        <f t="shared" si="2"/>
        <v>8814.8704919603006</v>
      </c>
      <c r="F67" s="276">
        <f t="shared" si="3"/>
        <v>802276.92639607925</v>
      </c>
      <c r="G67" s="277">
        <f t="shared" si="4"/>
        <v>6172014.0387233337</v>
      </c>
      <c r="H67" s="72"/>
      <c r="I67" s="72"/>
      <c r="J67" s="72"/>
    </row>
    <row r="68" spans="1:10">
      <c r="A68" s="275">
        <f t="shared" si="5"/>
        <v>53</v>
      </c>
      <c r="B68" s="266"/>
      <c r="C68" s="276">
        <f t="shared" si="0"/>
        <v>748117.50320628204</v>
      </c>
      <c r="D68" s="276">
        <f t="shared" si="1"/>
        <v>46290.105290425003</v>
      </c>
      <c r="E68" s="276">
        <f t="shared" si="2"/>
        <v>7869.3178993722504</v>
      </c>
      <c r="F68" s="278">
        <f t="shared" si="3"/>
        <v>802276.92639607925</v>
      </c>
      <c r="G68" s="277">
        <f t="shared" si="4"/>
        <v>5423896.5355170518</v>
      </c>
      <c r="H68" s="72"/>
      <c r="I68" s="72"/>
      <c r="J68" s="72"/>
    </row>
    <row r="69" spans="1:10">
      <c r="A69" s="275">
        <f t="shared" si="5"/>
        <v>54</v>
      </c>
      <c r="B69" s="266"/>
      <c r="C69" s="276">
        <f t="shared" si="0"/>
        <v>754682.2342969171</v>
      </c>
      <c r="D69" s="276">
        <f t="shared" si="1"/>
        <v>40679.224016377892</v>
      </c>
      <c r="E69" s="276">
        <f t="shared" si="2"/>
        <v>6915.4680827842421</v>
      </c>
      <c r="F69" s="276">
        <f t="shared" si="3"/>
        <v>802276.92639607925</v>
      </c>
      <c r="G69" s="277">
        <f t="shared" si="4"/>
        <v>4669214.3012201348</v>
      </c>
      <c r="H69" s="72"/>
      <c r="I69" s="72"/>
      <c r="J69" s="72"/>
    </row>
    <row r="70" spans="1:10">
      <c r="A70" s="275">
        <f t="shared" si="5"/>
        <v>55</v>
      </c>
      <c r="B70" s="266"/>
      <c r="C70" s="276">
        <f t="shared" si="0"/>
        <v>761304.57090287248</v>
      </c>
      <c r="D70" s="276">
        <f t="shared" si="1"/>
        <v>35019.107259151009</v>
      </c>
      <c r="E70" s="276">
        <f t="shared" si="2"/>
        <v>5953.2482340556717</v>
      </c>
      <c r="F70" s="278">
        <f t="shared" si="3"/>
        <v>802276.92639607925</v>
      </c>
      <c r="G70" s="277">
        <f t="shared" si="4"/>
        <v>3907909.7303172625</v>
      </c>
      <c r="H70" s="72"/>
      <c r="I70" s="72"/>
      <c r="J70" s="72"/>
    </row>
    <row r="71" spans="1:10">
      <c r="A71" s="275">
        <f t="shared" si="5"/>
        <v>56</v>
      </c>
      <c r="B71" s="266"/>
      <c r="C71" s="276">
        <f t="shared" si="0"/>
        <v>767985.01851254527</v>
      </c>
      <c r="D71" s="276">
        <f t="shared" si="1"/>
        <v>29309.322977379466</v>
      </c>
      <c r="E71" s="276">
        <f t="shared" si="2"/>
        <v>4982.5849061545096</v>
      </c>
      <c r="F71" s="276">
        <f t="shared" si="3"/>
        <v>802276.92639607925</v>
      </c>
      <c r="G71" s="277">
        <f t="shared" si="4"/>
        <v>3139924.7118047173</v>
      </c>
      <c r="H71" s="72"/>
      <c r="I71" s="72"/>
      <c r="J71" s="72"/>
    </row>
    <row r="72" spans="1:10">
      <c r="A72" s="275">
        <f t="shared" si="5"/>
        <v>57</v>
      </c>
      <c r="B72" s="266"/>
      <c r="C72" s="276">
        <f t="shared" si="0"/>
        <v>774724.08704999287</v>
      </c>
      <c r="D72" s="276">
        <f t="shared" si="1"/>
        <v>23549.435338535379</v>
      </c>
      <c r="E72" s="276">
        <f t="shared" si="2"/>
        <v>4003.4040075510147</v>
      </c>
      <c r="F72" s="278">
        <f t="shared" si="3"/>
        <v>802276.92639607925</v>
      </c>
      <c r="G72" s="277">
        <f t="shared" si="4"/>
        <v>2365200.6247547246</v>
      </c>
      <c r="H72" s="72"/>
      <c r="I72" s="72"/>
      <c r="J72" s="72"/>
    </row>
    <row r="73" spans="1:10">
      <c r="A73" s="275">
        <f t="shared" si="5"/>
        <v>58</v>
      </c>
      <c r="B73" s="266"/>
      <c r="C73" s="276">
        <f t="shared" si="0"/>
        <v>781522.29091385647</v>
      </c>
      <c r="D73" s="276">
        <f t="shared" si="1"/>
        <v>17739.004685660431</v>
      </c>
      <c r="E73" s="276">
        <f t="shared" si="2"/>
        <v>3015.6307965622732</v>
      </c>
      <c r="F73" s="276">
        <f t="shared" si="3"/>
        <v>802276.92639607925</v>
      </c>
      <c r="G73" s="277">
        <f t="shared" si="4"/>
        <v>1583678.333840868</v>
      </c>
      <c r="H73" s="72"/>
      <c r="I73" s="72"/>
      <c r="J73" s="72"/>
    </row>
    <row r="74" spans="1:10">
      <c r="A74" s="275">
        <f t="shared" si="5"/>
        <v>59</v>
      </c>
      <c r="B74" s="266"/>
      <c r="C74" s="276">
        <f t="shared" si="0"/>
        <v>788380.14901662571</v>
      </c>
      <c r="D74" s="276">
        <f t="shared" si="1"/>
        <v>11877.58750380651</v>
      </c>
      <c r="E74" s="276">
        <f t="shared" si="2"/>
        <v>2019.1898756471066</v>
      </c>
      <c r="F74" s="278">
        <f t="shared" si="3"/>
        <v>802276.92639607925</v>
      </c>
      <c r="G74" s="277">
        <f t="shared" si="4"/>
        <v>795298.18482424226</v>
      </c>
      <c r="H74" s="72"/>
      <c r="I74" s="72"/>
      <c r="J74" s="72"/>
    </row>
    <row r="75" spans="1:10">
      <c r="A75" s="279">
        <f t="shared" si="5"/>
        <v>60</v>
      </c>
      <c r="B75" s="280"/>
      <c r="C75" s="281">
        <f t="shared" si="0"/>
        <v>795298.18482424656</v>
      </c>
      <c r="D75" s="281">
        <f t="shared" si="1"/>
        <v>5964.7363861818167</v>
      </c>
      <c r="E75" s="281">
        <f t="shared" si="2"/>
        <v>1014.0051856509089</v>
      </c>
      <c r="F75" s="281">
        <f t="shared" si="3"/>
        <v>802276.92639607925</v>
      </c>
      <c r="G75" s="282">
        <f t="shared" si="4"/>
        <v>-4.3073669075965881E-9</v>
      </c>
      <c r="H75" s="72"/>
      <c r="I75" s="72"/>
      <c r="J75" s="72"/>
    </row>
    <row r="76" spans="1:10">
      <c r="A76" s="72"/>
      <c r="B76" s="72"/>
      <c r="C76" s="284"/>
      <c r="D76" s="284"/>
      <c r="E76" s="284"/>
      <c r="F76" s="284"/>
      <c r="G76" s="284"/>
      <c r="H76" s="72"/>
      <c r="I76" s="72"/>
      <c r="J76" s="72"/>
    </row>
    <row r="77" spans="1:10">
      <c r="A77" s="72"/>
      <c r="B77" s="72"/>
      <c r="C77" s="284"/>
      <c r="D77" s="284"/>
      <c r="E77" s="284"/>
      <c r="F77" s="284"/>
      <c r="G77" s="284"/>
      <c r="H77" s="72"/>
      <c r="I77" s="72"/>
      <c r="J77" s="72"/>
    </row>
    <row r="78" spans="1:10">
      <c r="A78" s="72"/>
      <c r="B78" s="72"/>
      <c r="C78" s="268">
        <f t="shared" ref="C78:F78" si="6">SUM(C16:C75)</f>
        <v>37299999.999999993</v>
      </c>
      <c r="D78" s="268">
        <f t="shared" si="6"/>
        <v>9262064.6015083399</v>
      </c>
      <c r="E78" s="268">
        <f t="shared" si="6"/>
        <v>1574550.9822564172</v>
      </c>
      <c r="F78" s="268">
        <f t="shared" si="6"/>
        <v>48136615.583764754</v>
      </c>
      <c r="G78" s="284"/>
      <c r="H78" s="72"/>
      <c r="I78" s="72"/>
      <c r="J78" s="72"/>
    </row>
    <row r="79" spans="1:10">
      <c r="A79" s="72"/>
      <c r="B79" s="72"/>
      <c r="C79" s="284"/>
      <c r="D79" s="284"/>
      <c r="E79" s="284"/>
      <c r="F79" s="284"/>
      <c r="G79" s="284"/>
      <c r="H79" s="72"/>
      <c r="I79" s="72"/>
      <c r="J79" s="72"/>
    </row>
    <row r="80" spans="1:10">
      <c r="A80" s="72"/>
      <c r="B80" s="72"/>
      <c r="C80" s="284"/>
      <c r="D80" s="284"/>
      <c r="E80" s="284"/>
      <c r="F80" s="284"/>
      <c r="G80" s="284"/>
      <c r="H80" s="72"/>
      <c r="I80" s="72"/>
      <c r="J80" s="72"/>
    </row>
    <row r="81" spans="1:10">
      <c r="A81" s="72"/>
      <c r="B81" s="72"/>
      <c r="C81" s="284"/>
      <c r="D81" s="284"/>
      <c r="E81" s="284"/>
      <c r="F81" s="284"/>
      <c r="G81" s="284"/>
      <c r="H81" s="72"/>
      <c r="I81" s="72"/>
      <c r="J81" s="72"/>
    </row>
    <row r="82" spans="1:10">
      <c r="A82" s="72"/>
      <c r="B82" s="72"/>
      <c r="C82" s="284"/>
      <c r="D82" s="284"/>
      <c r="E82" s="284"/>
      <c r="F82" s="284"/>
      <c r="G82" s="284"/>
      <c r="H82" s="72"/>
      <c r="I82" s="72"/>
      <c r="J82" s="72"/>
    </row>
    <row r="83" spans="1:10">
      <c r="A83" s="72"/>
      <c r="B83" s="72"/>
      <c r="C83" s="284"/>
      <c r="D83" s="284"/>
      <c r="E83" s="284"/>
      <c r="F83" s="284"/>
      <c r="G83" s="284"/>
      <c r="H83" s="72"/>
      <c r="I83" s="72"/>
      <c r="J83" s="72"/>
    </row>
    <row r="84" spans="1:10">
      <c r="A84" s="72"/>
      <c r="B84" s="72"/>
      <c r="C84" s="72"/>
      <c r="D84" s="72"/>
      <c r="E84" s="72"/>
      <c r="F84" s="72"/>
      <c r="G84" s="72"/>
      <c r="H84" s="72"/>
      <c r="I84" s="72"/>
      <c r="J84" s="72"/>
    </row>
    <row r="85" spans="1:10">
      <c r="A85" s="72"/>
      <c r="B85" s="72"/>
      <c r="C85" s="72"/>
      <c r="D85" s="72"/>
      <c r="E85" s="72"/>
      <c r="F85" s="72"/>
      <c r="G85" s="72"/>
      <c r="H85" s="72"/>
      <c r="I85" s="72"/>
      <c r="J85" s="72"/>
    </row>
    <row r="86" spans="1:10">
      <c r="A86" s="72"/>
      <c r="B86" s="72"/>
      <c r="C86" s="72"/>
      <c r="D86" s="72"/>
      <c r="E86" s="72"/>
      <c r="F86" s="72"/>
      <c r="G86" s="72"/>
      <c r="H86" s="72"/>
      <c r="I86" s="72"/>
      <c r="J86" s="72"/>
    </row>
    <row r="87" spans="1:10">
      <c r="A87" s="72"/>
      <c r="B87" s="72"/>
      <c r="C87" s="72"/>
      <c r="D87" s="72"/>
      <c r="E87" s="72"/>
      <c r="F87" s="72"/>
      <c r="G87" s="72"/>
      <c r="H87" s="72"/>
      <c r="I87" s="72"/>
      <c r="J87" s="72"/>
    </row>
    <row r="88" spans="1:10">
      <c r="A88" s="72"/>
      <c r="B88" s="72"/>
      <c r="C88" s="72"/>
      <c r="D88" s="72"/>
      <c r="E88" s="72"/>
      <c r="F88" s="72"/>
      <c r="G88" s="72"/>
      <c r="H88" s="72"/>
      <c r="I88" s="72"/>
      <c r="J88" s="72"/>
    </row>
    <row r="89" spans="1:10">
      <c r="A89" s="72"/>
      <c r="B89" s="72"/>
      <c r="C89" s="72"/>
      <c r="D89" s="72"/>
      <c r="E89" s="72"/>
      <c r="F89" s="72"/>
      <c r="G89" s="72"/>
      <c r="H89" s="72"/>
      <c r="I89" s="72"/>
      <c r="J89" s="72"/>
    </row>
    <row r="90" spans="1:10">
      <c r="A90" s="72"/>
      <c r="B90" s="72"/>
      <c r="C90" s="72"/>
      <c r="D90" s="72"/>
      <c r="E90" s="72"/>
      <c r="F90" s="72"/>
      <c r="G90" s="72"/>
      <c r="H90" s="72"/>
      <c r="I90" s="72"/>
      <c r="J90" s="72"/>
    </row>
    <row r="91" spans="1:10">
      <c r="A91" s="72"/>
      <c r="B91" s="72"/>
      <c r="C91" s="72"/>
      <c r="D91" s="72"/>
      <c r="E91" s="72"/>
      <c r="F91" s="72"/>
      <c r="G91" s="72"/>
      <c r="H91" s="72"/>
      <c r="I91" s="72"/>
      <c r="J91" s="72"/>
    </row>
    <row r="92" spans="1:10">
      <c r="A92" s="72"/>
      <c r="B92" s="72"/>
      <c r="C92" s="72"/>
      <c r="D92" s="72"/>
      <c r="E92" s="72"/>
      <c r="F92" s="72"/>
      <c r="G92" s="72"/>
      <c r="H92" s="72"/>
      <c r="I92" s="72"/>
      <c r="J92" s="72"/>
    </row>
    <row r="93" spans="1:10">
      <c r="A93" s="72"/>
      <c r="B93" s="72"/>
      <c r="C93" s="72"/>
      <c r="D93" s="72"/>
      <c r="E93" s="72"/>
      <c r="F93" s="72"/>
      <c r="G93" s="72"/>
      <c r="H93" s="72"/>
      <c r="I93" s="72"/>
      <c r="J93" s="72"/>
    </row>
    <row r="94" spans="1:10">
      <c r="A94" s="72"/>
      <c r="B94" s="72"/>
      <c r="C94" s="72"/>
      <c r="D94" s="72"/>
      <c r="E94" s="72"/>
      <c r="F94" s="72"/>
      <c r="G94" s="72"/>
      <c r="H94" s="72"/>
      <c r="I94" s="72"/>
      <c r="J94" s="72"/>
    </row>
    <row r="95" spans="1:10">
      <c r="A95" s="72"/>
      <c r="B95" s="72"/>
      <c r="C95" s="72"/>
      <c r="D95" s="72"/>
      <c r="E95" s="72"/>
      <c r="F95" s="72"/>
      <c r="G95" s="72"/>
      <c r="H95" s="72"/>
      <c r="I95" s="72"/>
      <c r="J95" s="72"/>
    </row>
    <row r="96" spans="1:10">
      <c r="A96" s="72"/>
      <c r="B96" s="72"/>
      <c r="C96" s="72"/>
      <c r="D96" s="72"/>
      <c r="E96" s="72"/>
      <c r="F96" s="72"/>
      <c r="G96" s="72"/>
      <c r="H96" s="72"/>
      <c r="I96" s="72"/>
      <c r="J96" s="72"/>
    </row>
    <row r="97" spans="1:10">
      <c r="A97" s="72"/>
      <c r="B97" s="72"/>
      <c r="C97" s="72"/>
      <c r="D97" s="72"/>
      <c r="E97" s="72"/>
      <c r="F97" s="72"/>
      <c r="G97" s="72"/>
      <c r="H97" s="72"/>
      <c r="I97" s="72"/>
      <c r="J97" s="72"/>
    </row>
    <row r="98" spans="1:10">
      <c r="A98" s="72"/>
      <c r="B98" s="72"/>
      <c r="C98" s="72"/>
      <c r="D98" s="72"/>
      <c r="E98" s="72"/>
      <c r="F98" s="72"/>
      <c r="G98" s="72"/>
      <c r="H98" s="72"/>
      <c r="I98" s="72"/>
      <c r="J98" s="72"/>
    </row>
    <row r="99" spans="1:10">
      <c r="A99" s="72"/>
      <c r="B99" s="72"/>
      <c r="C99" s="72"/>
      <c r="D99" s="72"/>
      <c r="E99" s="72"/>
      <c r="F99" s="72"/>
      <c r="G99" s="72"/>
      <c r="H99" s="72"/>
      <c r="I99" s="72"/>
      <c r="J99" s="72"/>
    </row>
    <row r="100" spans="1:10">
      <c r="A100" s="72"/>
      <c r="B100" s="72"/>
      <c r="C100" s="72"/>
      <c r="D100" s="72"/>
      <c r="E100" s="72"/>
      <c r="F100" s="72"/>
      <c r="G100" s="72"/>
      <c r="H100" s="72"/>
      <c r="I100" s="72"/>
      <c r="J100" s="72"/>
    </row>
    <row r="101" spans="1:10">
      <c r="A101" s="72"/>
      <c r="B101" s="72"/>
      <c r="C101" s="72"/>
      <c r="D101" s="72"/>
      <c r="E101" s="72"/>
      <c r="F101" s="72"/>
      <c r="G101" s="72"/>
      <c r="H101" s="72"/>
      <c r="I101" s="72"/>
      <c r="J101" s="72"/>
    </row>
    <row r="102" spans="1:10">
      <c r="A102" s="72"/>
      <c r="B102" s="72"/>
      <c r="C102" s="72"/>
      <c r="D102" s="72"/>
      <c r="E102" s="72"/>
      <c r="F102" s="72"/>
      <c r="G102" s="72"/>
      <c r="H102" s="72"/>
      <c r="I102" s="72"/>
      <c r="J102" s="72"/>
    </row>
    <row r="103" spans="1:10">
      <c r="A103" s="72"/>
      <c r="B103" s="72"/>
      <c r="C103" s="72"/>
      <c r="D103" s="72"/>
      <c r="E103" s="72"/>
      <c r="F103" s="72"/>
      <c r="G103" s="72"/>
      <c r="H103" s="72"/>
      <c r="I103" s="72"/>
      <c r="J103" s="72"/>
    </row>
    <row r="104" spans="1:10">
      <c r="A104" s="72"/>
      <c r="B104" s="72"/>
      <c r="C104" s="72"/>
      <c r="D104" s="72"/>
      <c r="E104" s="72"/>
      <c r="F104" s="72"/>
      <c r="G104" s="72"/>
      <c r="H104" s="72"/>
      <c r="I104" s="72"/>
      <c r="J104" s="72"/>
    </row>
    <row r="105" spans="1:10">
      <c r="A105" s="72"/>
      <c r="B105" s="72"/>
      <c r="C105" s="72"/>
      <c r="D105" s="72"/>
      <c r="E105" s="72"/>
      <c r="F105" s="72"/>
      <c r="G105" s="72"/>
      <c r="H105" s="72"/>
      <c r="I105" s="72"/>
      <c r="J105" s="72"/>
    </row>
    <row r="106" spans="1:10">
      <c r="A106" s="72"/>
      <c r="B106" s="72"/>
      <c r="C106" s="72"/>
      <c r="D106" s="72"/>
      <c r="E106" s="72"/>
      <c r="F106" s="72"/>
      <c r="G106" s="72"/>
      <c r="H106" s="72"/>
      <c r="I106" s="72"/>
      <c r="J106" s="72"/>
    </row>
    <row r="107" spans="1:10">
      <c r="A107" s="72"/>
      <c r="B107" s="72"/>
      <c r="C107" s="72"/>
      <c r="D107" s="72"/>
      <c r="E107" s="72"/>
      <c r="F107" s="72"/>
      <c r="G107" s="72"/>
      <c r="H107" s="72"/>
      <c r="I107" s="72"/>
      <c r="J107" s="72"/>
    </row>
    <row r="108" spans="1:10">
      <c r="A108" s="72"/>
      <c r="B108" s="72"/>
      <c r="C108" s="72"/>
      <c r="D108" s="72"/>
      <c r="E108" s="72"/>
      <c r="F108" s="72"/>
      <c r="G108" s="72"/>
      <c r="H108" s="72"/>
      <c r="I108" s="72"/>
      <c r="J108" s="72"/>
    </row>
    <row r="109" spans="1:10">
      <c r="A109" s="72"/>
      <c r="B109" s="72"/>
      <c r="C109" s="72"/>
      <c r="D109" s="72"/>
      <c r="E109" s="72"/>
      <c r="F109" s="72"/>
      <c r="G109" s="72"/>
      <c r="H109" s="72"/>
      <c r="I109" s="72"/>
      <c r="J109" s="72"/>
    </row>
    <row r="110" spans="1:10">
      <c r="A110" s="72"/>
      <c r="B110" s="72"/>
      <c r="C110" s="72"/>
      <c r="D110" s="72"/>
      <c r="E110" s="72"/>
      <c r="F110" s="72"/>
      <c r="G110" s="72"/>
      <c r="H110" s="72"/>
      <c r="I110" s="72"/>
      <c r="J110" s="72"/>
    </row>
    <row r="111" spans="1:10">
      <c r="A111" s="72"/>
      <c r="B111" s="72"/>
      <c r="C111" s="72"/>
      <c r="D111" s="72"/>
      <c r="E111" s="72"/>
      <c r="F111" s="72"/>
      <c r="G111" s="72"/>
      <c r="H111" s="72"/>
      <c r="I111" s="72"/>
      <c r="J111" s="72"/>
    </row>
    <row r="112" spans="1:10">
      <c r="A112" s="72"/>
      <c r="B112" s="72"/>
      <c r="C112" s="72"/>
      <c r="D112" s="72"/>
      <c r="E112" s="72"/>
      <c r="F112" s="72"/>
      <c r="G112" s="72"/>
      <c r="H112" s="72"/>
      <c r="I112" s="72"/>
      <c r="J112" s="72"/>
    </row>
    <row r="113" spans="1:10">
      <c r="A113" s="72"/>
      <c r="B113" s="72"/>
      <c r="C113" s="72"/>
      <c r="D113" s="72"/>
      <c r="E113" s="72"/>
      <c r="F113" s="72"/>
      <c r="G113" s="72"/>
      <c r="H113" s="72"/>
      <c r="I113" s="72"/>
      <c r="J113" s="72"/>
    </row>
    <row r="114" spans="1:10">
      <c r="A114" s="72"/>
      <c r="B114" s="72"/>
      <c r="C114" s="72"/>
      <c r="D114" s="72"/>
      <c r="E114" s="72"/>
      <c r="F114" s="72"/>
      <c r="G114" s="72"/>
      <c r="H114" s="72"/>
      <c r="I114" s="72"/>
      <c r="J114" s="72"/>
    </row>
    <row r="115" spans="1:10">
      <c r="A115" s="72"/>
      <c r="B115" s="72"/>
      <c r="C115" s="72"/>
      <c r="D115" s="72"/>
      <c r="E115" s="72"/>
      <c r="F115" s="72"/>
      <c r="G115" s="72"/>
      <c r="H115" s="72"/>
      <c r="I115" s="72"/>
      <c r="J115" s="72"/>
    </row>
    <row r="116" spans="1:10">
      <c r="A116" s="72"/>
      <c r="B116" s="72"/>
      <c r="C116" s="72"/>
      <c r="D116" s="72"/>
      <c r="E116" s="72"/>
      <c r="F116" s="72"/>
      <c r="G116" s="72"/>
      <c r="H116" s="72"/>
      <c r="I116" s="72"/>
      <c r="J116" s="72"/>
    </row>
    <row r="117" spans="1:10">
      <c r="A117" s="72"/>
      <c r="B117" s="72"/>
      <c r="C117" s="72"/>
      <c r="D117" s="72"/>
      <c r="E117" s="72"/>
      <c r="F117" s="72"/>
      <c r="G117" s="72"/>
      <c r="H117" s="72"/>
      <c r="I117" s="72"/>
      <c r="J117" s="72"/>
    </row>
    <row r="118" spans="1:10">
      <c r="A118" s="72"/>
      <c r="B118" s="72"/>
      <c r="C118" s="72"/>
      <c r="D118" s="72"/>
      <c r="E118" s="72"/>
      <c r="F118" s="72"/>
      <c r="G118" s="72"/>
      <c r="H118" s="72"/>
      <c r="I118" s="72"/>
      <c r="J118" s="72"/>
    </row>
    <row r="119" spans="1:10">
      <c r="A119" s="72"/>
      <c r="B119" s="72"/>
      <c r="C119" s="72"/>
      <c r="D119" s="72"/>
      <c r="E119" s="72"/>
      <c r="F119" s="72"/>
      <c r="G119" s="72"/>
      <c r="H119" s="72"/>
      <c r="I119" s="72"/>
      <c r="J119" s="72"/>
    </row>
    <row r="120" spans="1:10">
      <c r="A120" s="72"/>
      <c r="B120" s="72"/>
      <c r="C120" s="72"/>
      <c r="D120" s="72"/>
      <c r="E120" s="72"/>
      <c r="F120" s="72"/>
      <c r="G120" s="72"/>
      <c r="H120" s="72"/>
      <c r="I120" s="72"/>
      <c r="J120" s="72"/>
    </row>
    <row r="121" spans="1:10">
      <c r="A121" s="72"/>
      <c r="B121" s="72"/>
      <c r="C121" s="72"/>
      <c r="D121" s="72"/>
      <c r="E121" s="72"/>
      <c r="F121" s="72"/>
      <c r="G121" s="72"/>
      <c r="H121" s="72"/>
      <c r="I121" s="72"/>
      <c r="J121" s="72"/>
    </row>
    <row r="122" spans="1:10">
      <c r="A122" s="72"/>
      <c r="B122" s="72"/>
      <c r="C122" s="72"/>
      <c r="D122" s="72"/>
      <c r="E122" s="72"/>
      <c r="F122" s="72"/>
      <c r="G122" s="72"/>
      <c r="H122" s="72"/>
      <c r="I122" s="72"/>
      <c r="J122" s="72"/>
    </row>
    <row r="123" spans="1:10">
      <c r="A123" s="72"/>
      <c r="B123" s="72"/>
      <c r="C123" s="72"/>
      <c r="D123" s="72"/>
      <c r="E123" s="72"/>
      <c r="F123" s="72"/>
      <c r="G123" s="72"/>
      <c r="H123" s="72"/>
      <c r="I123" s="72"/>
      <c r="J123" s="72"/>
    </row>
    <row r="124" spans="1:10">
      <c r="A124" s="72"/>
      <c r="B124" s="72"/>
      <c r="C124" s="72"/>
      <c r="D124" s="72"/>
      <c r="E124" s="72"/>
      <c r="F124" s="72"/>
      <c r="G124" s="72"/>
      <c r="H124" s="72"/>
      <c r="I124" s="72"/>
      <c r="J124" s="72"/>
    </row>
    <row r="125" spans="1:10">
      <c r="A125" s="72"/>
      <c r="B125" s="72"/>
      <c r="C125" s="72"/>
      <c r="D125" s="72"/>
      <c r="E125" s="72"/>
      <c r="F125" s="72"/>
      <c r="G125" s="72"/>
      <c r="H125" s="72"/>
      <c r="I125" s="72"/>
      <c r="J125" s="72"/>
    </row>
    <row r="126" spans="1:10">
      <c r="A126" s="72"/>
      <c r="B126" s="72"/>
      <c r="C126" s="72"/>
      <c r="D126" s="72"/>
      <c r="E126" s="72"/>
      <c r="F126" s="72"/>
      <c r="G126" s="72"/>
      <c r="H126" s="72"/>
      <c r="I126" s="72"/>
      <c r="J126" s="72"/>
    </row>
    <row r="127" spans="1:10">
      <c r="A127" s="72"/>
      <c r="B127" s="72"/>
      <c r="C127" s="72"/>
      <c r="D127" s="72"/>
      <c r="E127" s="72"/>
      <c r="F127" s="72"/>
      <c r="G127" s="72"/>
      <c r="H127" s="72"/>
      <c r="I127" s="72"/>
      <c r="J127" s="72"/>
    </row>
    <row r="128" spans="1:10">
      <c r="A128" s="72"/>
      <c r="B128" s="72"/>
      <c r="C128" s="72"/>
      <c r="D128" s="72"/>
      <c r="E128" s="72"/>
      <c r="F128" s="72"/>
      <c r="G128" s="72"/>
      <c r="H128" s="72"/>
      <c r="I128" s="72"/>
      <c r="J128" s="72"/>
    </row>
    <row r="129" spans="1:10">
      <c r="A129" s="72"/>
      <c r="B129" s="72"/>
      <c r="C129" s="72"/>
      <c r="D129" s="72"/>
      <c r="E129" s="72"/>
      <c r="F129" s="72"/>
      <c r="G129" s="72"/>
      <c r="H129" s="72"/>
      <c r="I129" s="72"/>
      <c r="J129" s="72"/>
    </row>
    <row r="130" spans="1:10">
      <c r="A130" s="72"/>
      <c r="B130" s="72"/>
      <c r="C130" s="72"/>
      <c r="D130" s="72"/>
      <c r="E130" s="72"/>
      <c r="F130" s="72"/>
      <c r="G130" s="72"/>
      <c r="H130" s="72"/>
      <c r="I130" s="72"/>
      <c r="J130" s="72"/>
    </row>
    <row r="131" spans="1:10">
      <c r="A131" s="72"/>
      <c r="B131" s="72"/>
      <c r="C131" s="72"/>
      <c r="D131" s="72"/>
      <c r="E131" s="72"/>
      <c r="F131" s="72"/>
      <c r="G131" s="72"/>
      <c r="H131" s="72"/>
      <c r="I131" s="72"/>
      <c r="J131" s="72"/>
    </row>
    <row r="132" spans="1:10">
      <c r="A132" s="72"/>
      <c r="B132" s="72"/>
      <c r="C132" s="72"/>
      <c r="D132" s="72"/>
      <c r="E132" s="72"/>
      <c r="F132" s="72"/>
      <c r="G132" s="72"/>
      <c r="H132" s="72"/>
      <c r="I132" s="72"/>
      <c r="J132" s="72"/>
    </row>
    <row r="133" spans="1:10">
      <c r="A133" s="72"/>
      <c r="B133" s="72"/>
      <c r="C133" s="72"/>
      <c r="D133" s="72"/>
      <c r="E133" s="72"/>
      <c r="F133" s="72"/>
      <c r="G133" s="72"/>
      <c r="H133" s="72"/>
      <c r="I133" s="72"/>
      <c r="J133" s="72"/>
    </row>
    <row r="134" spans="1:10">
      <c r="A134" s="72"/>
      <c r="B134" s="72"/>
      <c r="C134" s="72"/>
      <c r="D134" s="72"/>
      <c r="E134" s="72"/>
      <c r="F134" s="72"/>
      <c r="G134" s="72"/>
      <c r="H134" s="72"/>
      <c r="I134" s="72"/>
      <c r="J134" s="72"/>
    </row>
    <row r="135" spans="1:10">
      <c r="A135" s="72"/>
      <c r="B135" s="72"/>
      <c r="C135" s="72"/>
      <c r="D135" s="72"/>
      <c r="E135" s="72"/>
      <c r="F135" s="72"/>
      <c r="G135" s="72"/>
      <c r="H135" s="72"/>
      <c r="I135" s="72"/>
      <c r="J135" s="72"/>
    </row>
    <row r="136" spans="1:10">
      <c r="A136" s="72"/>
      <c r="B136" s="72"/>
      <c r="C136" s="72"/>
      <c r="D136" s="72"/>
      <c r="E136" s="72"/>
      <c r="F136" s="72"/>
      <c r="G136" s="72"/>
      <c r="H136" s="72"/>
      <c r="I136" s="72"/>
      <c r="J136" s="72"/>
    </row>
    <row r="137" spans="1:10">
      <c r="A137" s="72"/>
      <c r="B137" s="72"/>
      <c r="C137" s="72"/>
      <c r="D137" s="72"/>
      <c r="E137" s="72"/>
      <c r="F137" s="72"/>
      <c r="G137" s="72"/>
      <c r="H137" s="72"/>
      <c r="I137" s="72"/>
      <c r="J137" s="72"/>
    </row>
    <row r="138" spans="1:10">
      <c r="A138" s="72"/>
      <c r="B138" s="72"/>
      <c r="C138" s="72"/>
      <c r="D138" s="72"/>
      <c r="E138" s="72"/>
      <c r="F138" s="72"/>
      <c r="G138" s="72"/>
      <c r="H138" s="72"/>
      <c r="I138" s="72"/>
      <c r="J138" s="72"/>
    </row>
    <row r="139" spans="1:10">
      <c r="A139" s="72"/>
      <c r="B139" s="72"/>
      <c r="C139" s="72"/>
      <c r="D139" s="72"/>
      <c r="E139" s="72"/>
      <c r="F139" s="72"/>
      <c r="G139" s="72"/>
      <c r="H139" s="72"/>
      <c r="I139" s="72"/>
      <c r="J139" s="72"/>
    </row>
    <row r="140" spans="1:10">
      <c r="A140" s="72"/>
      <c r="B140" s="72"/>
      <c r="C140" s="72"/>
      <c r="D140" s="72"/>
      <c r="E140" s="72"/>
      <c r="F140" s="72"/>
      <c r="G140" s="72"/>
      <c r="H140" s="72"/>
      <c r="I140" s="72"/>
      <c r="J140" s="72"/>
    </row>
    <row r="141" spans="1:10">
      <c r="A141" s="72"/>
      <c r="B141" s="72"/>
      <c r="C141" s="72"/>
      <c r="D141" s="72"/>
      <c r="E141" s="72"/>
      <c r="F141" s="72"/>
      <c r="G141" s="72"/>
      <c r="H141" s="72"/>
      <c r="I141" s="72"/>
      <c r="J141" s="72"/>
    </row>
    <row r="142" spans="1:10">
      <c r="A142" s="72"/>
      <c r="B142" s="72"/>
      <c r="C142" s="72"/>
      <c r="D142" s="72"/>
      <c r="E142" s="72"/>
      <c r="F142" s="72"/>
      <c r="G142" s="72"/>
      <c r="H142" s="72"/>
      <c r="I142" s="72"/>
      <c r="J142" s="72"/>
    </row>
    <row r="143" spans="1:10">
      <c r="A143" s="72"/>
      <c r="B143" s="72"/>
      <c r="C143" s="72"/>
      <c r="D143" s="72"/>
      <c r="E143" s="72"/>
      <c r="F143" s="72"/>
      <c r="G143" s="72"/>
      <c r="H143" s="72"/>
      <c r="I143" s="72"/>
      <c r="J143" s="72"/>
    </row>
    <row r="144" spans="1:10">
      <c r="A144" s="72"/>
      <c r="B144" s="72"/>
      <c r="C144" s="72"/>
      <c r="D144" s="72"/>
      <c r="E144" s="72"/>
      <c r="F144" s="72"/>
      <c r="G144" s="72"/>
      <c r="H144" s="72"/>
      <c r="I144" s="72"/>
      <c r="J144" s="72"/>
    </row>
    <row r="145" spans="1:10">
      <c r="A145" s="72"/>
      <c r="B145" s="72"/>
      <c r="C145" s="72"/>
      <c r="D145" s="72"/>
      <c r="E145" s="72"/>
      <c r="F145" s="72"/>
      <c r="G145" s="72"/>
      <c r="H145" s="72"/>
      <c r="I145" s="72"/>
      <c r="J145" s="72"/>
    </row>
    <row r="146" spans="1:10">
      <c r="A146" s="72"/>
      <c r="B146" s="72"/>
      <c r="C146" s="72"/>
      <c r="D146" s="72"/>
      <c r="E146" s="72"/>
      <c r="F146" s="72"/>
      <c r="G146" s="72"/>
      <c r="H146" s="72"/>
      <c r="I146" s="72"/>
      <c r="J146" s="72"/>
    </row>
    <row r="147" spans="1:10">
      <c r="A147" s="72"/>
      <c r="B147" s="72"/>
      <c r="C147" s="72"/>
      <c r="D147" s="72"/>
      <c r="E147" s="72"/>
      <c r="F147" s="72"/>
      <c r="G147" s="72"/>
      <c r="H147" s="72"/>
      <c r="I147" s="72"/>
      <c r="J147" s="72"/>
    </row>
    <row r="148" spans="1:10">
      <c r="A148" s="72"/>
      <c r="B148" s="72"/>
      <c r="C148" s="72"/>
      <c r="D148" s="72"/>
      <c r="E148" s="72"/>
      <c r="F148" s="72"/>
      <c r="G148" s="72"/>
      <c r="H148" s="72"/>
      <c r="I148" s="72"/>
      <c r="J148" s="72"/>
    </row>
    <row r="149" spans="1:10">
      <c r="A149" s="72"/>
      <c r="B149" s="72"/>
      <c r="C149" s="72"/>
      <c r="D149" s="72"/>
      <c r="E149" s="72"/>
      <c r="F149" s="72"/>
      <c r="G149" s="72"/>
      <c r="H149" s="72"/>
      <c r="I149" s="72"/>
      <c r="J149" s="72"/>
    </row>
    <row r="150" spans="1:10">
      <c r="A150" s="72"/>
      <c r="B150" s="72"/>
      <c r="C150" s="72"/>
      <c r="D150" s="72"/>
      <c r="E150" s="72"/>
      <c r="F150" s="72"/>
      <c r="G150" s="72"/>
      <c r="H150" s="72"/>
      <c r="I150" s="72"/>
      <c r="J150" s="72"/>
    </row>
    <row r="151" spans="1:10">
      <c r="A151" s="72"/>
      <c r="B151" s="72"/>
      <c r="C151" s="72"/>
      <c r="D151" s="72"/>
      <c r="E151" s="72"/>
      <c r="F151" s="72"/>
      <c r="G151" s="72"/>
      <c r="H151" s="72"/>
      <c r="I151" s="72"/>
      <c r="J151" s="72"/>
    </row>
    <row r="152" spans="1:10">
      <c r="A152" s="72"/>
      <c r="B152" s="72"/>
      <c r="C152" s="72"/>
      <c r="D152" s="72"/>
      <c r="E152" s="72"/>
      <c r="F152" s="72"/>
      <c r="G152" s="72"/>
      <c r="H152" s="72"/>
      <c r="I152" s="72"/>
      <c r="J152" s="72"/>
    </row>
    <row r="153" spans="1:10">
      <c r="A153" s="72"/>
      <c r="B153" s="72"/>
      <c r="C153" s="72"/>
      <c r="D153" s="72"/>
      <c r="E153" s="72"/>
      <c r="F153" s="72"/>
      <c r="G153" s="72"/>
      <c r="H153" s="72"/>
      <c r="I153" s="72"/>
      <c r="J153" s="72"/>
    </row>
    <row r="154" spans="1:10">
      <c r="A154" s="72"/>
      <c r="B154" s="72"/>
      <c r="C154" s="72"/>
      <c r="D154" s="72"/>
      <c r="E154" s="72"/>
      <c r="F154" s="72"/>
      <c r="G154" s="72"/>
      <c r="H154" s="72"/>
      <c r="I154" s="72"/>
      <c r="J154" s="72"/>
    </row>
    <row r="155" spans="1:10">
      <c r="A155" s="72"/>
      <c r="B155" s="72"/>
      <c r="C155" s="72"/>
      <c r="D155" s="72"/>
      <c r="E155" s="72"/>
      <c r="F155" s="72"/>
      <c r="G155" s="72"/>
      <c r="H155" s="72"/>
      <c r="I155" s="72"/>
      <c r="J155" s="72"/>
    </row>
    <row r="156" spans="1:10">
      <c r="A156" s="72"/>
      <c r="B156" s="72"/>
      <c r="C156" s="72"/>
      <c r="D156" s="72"/>
      <c r="E156" s="72"/>
      <c r="F156" s="72"/>
      <c r="G156" s="72"/>
      <c r="H156" s="72"/>
      <c r="I156" s="72"/>
      <c r="J156" s="72"/>
    </row>
    <row r="157" spans="1:10">
      <c r="A157" s="72"/>
      <c r="B157" s="72"/>
      <c r="C157" s="72"/>
      <c r="D157" s="72"/>
      <c r="E157" s="72"/>
      <c r="F157" s="72"/>
      <c r="G157" s="72"/>
      <c r="H157" s="72"/>
      <c r="I157" s="72"/>
      <c r="J157" s="72"/>
    </row>
    <row r="158" spans="1:10">
      <c r="A158" s="72"/>
      <c r="B158" s="72"/>
      <c r="C158" s="72"/>
      <c r="D158" s="72"/>
      <c r="E158" s="72"/>
      <c r="F158" s="72"/>
      <c r="G158" s="72"/>
      <c r="H158" s="72"/>
      <c r="I158" s="72"/>
      <c r="J158" s="72"/>
    </row>
    <row r="159" spans="1:10">
      <c r="A159" s="72"/>
      <c r="B159" s="72"/>
      <c r="C159" s="72"/>
      <c r="D159" s="72"/>
      <c r="E159" s="72"/>
      <c r="F159" s="72"/>
      <c r="G159" s="72"/>
      <c r="H159" s="72"/>
      <c r="I159" s="72"/>
      <c r="J159" s="72"/>
    </row>
    <row r="160" spans="1:10">
      <c r="A160" s="72"/>
      <c r="B160" s="72"/>
      <c r="C160" s="72"/>
      <c r="D160" s="72"/>
      <c r="E160" s="72"/>
      <c r="F160" s="72"/>
      <c r="G160" s="72"/>
      <c r="H160" s="72"/>
      <c r="I160" s="72"/>
      <c r="J160" s="72"/>
    </row>
    <row r="161" spans="1:10">
      <c r="A161" s="72"/>
      <c r="B161" s="72"/>
      <c r="C161" s="72"/>
      <c r="D161" s="72"/>
      <c r="E161" s="72"/>
      <c r="F161" s="72"/>
      <c r="G161" s="72"/>
      <c r="H161" s="72"/>
      <c r="I161" s="72"/>
      <c r="J161" s="72"/>
    </row>
    <row r="162" spans="1:10">
      <c r="A162" s="72"/>
      <c r="B162" s="72"/>
      <c r="C162" s="72"/>
      <c r="D162" s="72"/>
      <c r="E162" s="72"/>
      <c r="F162" s="72"/>
      <c r="G162" s="72"/>
      <c r="H162" s="72"/>
      <c r="I162" s="72"/>
      <c r="J162" s="72"/>
    </row>
    <row r="163" spans="1:10">
      <c r="A163" s="72"/>
      <c r="B163" s="72"/>
      <c r="C163" s="72"/>
      <c r="D163" s="72"/>
      <c r="E163" s="72"/>
      <c r="F163" s="72"/>
      <c r="G163" s="72"/>
      <c r="H163" s="72"/>
      <c r="I163" s="72"/>
      <c r="J163" s="72"/>
    </row>
    <row r="164" spans="1:10">
      <c r="A164" s="72"/>
      <c r="B164" s="72"/>
      <c r="C164" s="72"/>
      <c r="D164" s="72"/>
      <c r="E164" s="72"/>
      <c r="F164" s="72"/>
      <c r="G164" s="72"/>
      <c r="H164" s="72"/>
      <c r="I164" s="72"/>
      <c r="J164" s="72"/>
    </row>
    <row r="165" spans="1:10">
      <c r="A165" s="72"/>
      <c r="B165" s="72"/>
      <c r="C165" s="72"/>
      <c r="D165" s="72"/>
      <c r="E165" s="72"/>
      <c r="F165" s="72"/>
      <c r="G165" s="72"/>
      <c r="H165" s="72"/>
      <c r="I165" s="72"/>
      <c r="J165" s="72"/>
    </row>
    <row r="166" spans="1:10">
      <c r="A166" s="72"/>
      <c r="B166" s="72"/>
      <c r="C166" s="72"/>
      <c r="D166" s="72"/>
      <c r="E166" s="72"/>
      <c r="F166" s="72"/>
      <c r="G166" s="72"/>
      <c r="H166" s="72"/>
      <c r="I166" s="72"/>
      <c r="J166" s="72"/>
    </row>
    <row r="167" spans="1:10">
      <c r="A167" s="72"/>
      <c r="B167" s="72"/>
      <c r="C167" s="72"/>
      <c r="D167" s="72"/>
      <c r="E167" s="72"/>
      <c r="F167" s="72"/>
      <c r="G167" s="72"/>
      <c r="H167" s="72"/>
      <c r="I167" s="72"/>
      <c r="J167" s="72"/>
    </row>
    <row r="168" spans="1:10">
      <c r="A168" s="72"/>
      <c r="B168" s="72"/>
      <c r="C168" s="72"/>
      <c r="D168" s="72"/>
      <c r="E168" s="72"/>
      <c r="F168" s="72"/>
      <c r="G168" s="72"/>
      <c r="H168" s="72"/>
      <c r="I168" s="72"/>
      <c r="J168" s="72"/>
    </row>
    <row r="169" spans="1:10">
      <c r="A169" s="72"/>
      <c r="B169" s="72"/>
      <c r="C169" s="72"/>
      <c r="D169" s="72"/>
      <c r="E169" s="72"/>
      <c r="F169" s="72"/>
      <c r="G169" s="72"/>
      <c r="H169" s="72"/>
      <c r="I169" s="72"/>
      <c r="J169" s="72"/>
    </row>
    <row r="170" spans="1:10">
      <c r="A170" s="72"/>
      <c r="B170" s="72"/>
      <c r="C170" s="72"/>
      <c r="D170" s="72"/>
      <c r="E170" s="72"/>
      <c r="F170" s="72"/>
      <c r="G170" s="72"/>
      <c r="H170" s="72"/>
      <c r="I170" s="72"/>
      <c r="J170" s="72"/>
    </row>
    <row r="171" spans="1:10">
      <c r="A171" s="72"/>
      <c r="B171" s="72"/>
      <c r="C171" s="72"/>
      <c r="D171" s="72"/>
      <c r="E171" s="72"/>
      <c r="F171" s="72"/>
      <c r="G171" s="72"/>
      <c r="H171" s="72"/>
      <c r="I171" s="72"/>
      <c r="J171" s="72"/>
    </row>
    <row r="172" spans="1:10">
      <c r="A172" s="72"/>
      <c r="B172" s="72"/>
      <c r="C172" s="72"/>
      <c r="D172" s="72"/>
      <c r="E172" s="72"/>
      <c r="F172" s="72"/>
      <c r="G172" s="72"/>
      <c r="H172" s="72"/>
      <c r="I172" s="72"/>
      <c r="J172" s="72"/>
    </row>
    <row r="173" spans="1:10">
      <c r="A173" s="72"/>
      <c r="B173" s="72"/>
      <c r="C173" s="72"/>
      <c r="D173" s="72"/>
      <c r="E173" s="72"/>
      <c r="F173" s="72"/>
      <c r="G173" s="72"/>
      <c r="H173" s="72"/>
      <c r="I173" s="72"/>
      <c r="J173" s="72"/>
    </row>
    <row r="174" spans="1:10">
      <c r="A174" s="72"/>
      <c r="B174" s="72"/>
      <c r="C174" s="72"/>
      <c r="D174" s="72"/>
      <c r="E174" s="72"/>
      <c r="F174" s="72"/>
      <c r="G174" s="72"/>
      <c r="H174" s="72"/>
      <c r="I174" s="72"/>
      <c r="J174" s="72"/>
    </row>
    <row r="175" spans="1:10">
      <c r="A175" s="72"/>
      <c r="B175" s="72"/>
      <c r="C175" s="72"/>
      <c r="D175" s="72"/>
      <c r="E175" s="72"/>
      <c r="F175" s="72"/>
      <c r="G175" s="72"/>
      <c r="H175" s="72"/>
      <c r="I175" s="72"/>
      <c r="J175" s="72"/>
    </row>
    <row r="176" spans="1:10">
      <c r="A176" s="72"/>
      <c r="B176" s="72"/>
      <c r="C176" s="72"/>
      <c r="D176" s="72"/>
      <c r="E176" s="72"/>
      <c r="F176" s="72"/>
      <c r="G176" s="72"/>
      <c r="H176" s="72"/>
      <c r="I176" s="72"/>
      <c r="J176" s="72"/>
    </row>
    <row r="177" spans="1:10">
      <c r="A177" s="72"/>
      <c r="B177" s="72"/>
      <c r="C177" s="72"/>
      <c r="D177" s="72"/>
      <c r="E177" s="72"/>
      <c r="F177" s="72"/>
      <c r="G177" s="72"/>
      <c r="H177" s="72"/>
      <c r="I177" s="72"/>
      <c r="J177" s="72"/>
    </row>
    <row r="178" spans="1:10">
      <c r="A178" s="72"/>
      <c r="B178" s="72"/>
      <c r="C178" s="72"/>
      <c r="D178" s="72"/>
      <c r="E178" s="72"/>
      <c r="F178" s="72"/>
      <c r="G178" s="72"/>
      <c r="H178" s="72"/>
      <c r="I178" s="72"/>
      <c r="J178" s="72"/>
    </row>
    <row r="179" spans="1:10">
      <c r="A179" s="72"/>
      <c r="B179" s="72"/>
      <c r="C179" s="72"/>
      <c r="D179" s="72"/>
      <c r="E179" s="72"/>
      <c r="F179" s="72"/>
      <c r="G179" s="72"/>
      <c r="H179" s="72"/>
      <c r="I179" s="72"/>
      <c r="J179" s="72"/>
    </row>
    <row r="180" spans="1:10">
      <c r="A180" s="72"/>
      <c r="B180" s="72"/>
      <c r="C180" s="72"/>
      <c r="D180" s="72"/>
      <c r="E180" s="72"/>
      <c r="F180" s="72"/>
      <c r="G180" s="72"/>
      <c r="H180" s="72"/>
      <c r="I180" s="72"/>
      <c r="J180" s="72"/>
    </row>
    <row r="181" spans="1:10">
      <c r="A181" s="72"/>
      <c r="B181" s="72"/>
      <c r="C181" s="72"/>
      <c r="D181" s="72"/>
      <c r="E181" s="72"/>
      <c r="F181" s="72"/>
      <c r="G181" s="72"/>
      <c r="H181" s="72"/>
      <c r="I181" s="72"/>
      <c r="J181" s="72"/>
    </row>
    <row r="182" spans="1:10">
      <c r="A182" s="72"/>
      <c r="B182" s="72"/>
      <c r="C182" s="72"/>
      <c r="D182" s="72"/>
      <c r="E182" s="72"/>
      <c r="F182" s="72"/>
      <c r="G182" s="72"/>
      <c r="H182" s="72"/>
      <c r="I182" s="72"/>
      <c r="J182" s="72"/>
    </row>
    <row r="183" spans="1:10">
      <c r="A183" s="72"/>
      <c r="B183" s="72"/>
      <c r="C183" s="72"/>
      <c r="D183" s="72"/>
      <c r="E183" s="72"/>
      <c r="F183" s="72"/>
      <c r="G183" s="72"/>
      <c r="H183" s="72"/>
      <c r="I183" s="72"/>
      <c r="J183" s="72"/>
    </row>
    <row r="184" spans="1:10">
      <c r="A184" s="72"/>
      <c r="B184" s="72"/>
      <c r="C184" s="72"/>
      <c r="D184" s="72"/>
      <c r="E184" s="72"/>
      <c r="F184" s="72"/>
      <c r="G184" s="72"/>
      <c r="H184" s="72"/>
      <c r="I184" s="72"/>
      <c r="J184" s="72"/>
    </row>
    <row r="185" spans="1:10">
      <c r="A185" s="72"/>
      <c r="B185" s="72"/>
      <c r="C185" s="72"/>
      <c r="D185" s="72"/>
      <c r="E185" s="72"/>
      <c r="F185" s="72"/>
      <c r="G185" s="72"/>
      <c r="H185" s="72"/>
      <c r="I185" s="72"/>
      <c r="J185" s="72"/>
    </row>
    <row r="186" spans="1:10">
      <c r="A186" s="72"/>
      <c r="B186" s="72"/>
      <c r="C186" s="72"/>
      <c r="D186" s="72"/>
      <c r="E186" s="72"/>
      <c r="F186" s="72"/>
      <c r="G186" s="72"/>
      <c r="H186" s="72"/>
      <c r="I186" s="72"/>
      <c r="J186" s="72"/>
    </row>
    <row r="187" spans="1:10">
      <c r="A187" s="72"/>
      <c r="B187" s="72"/>
      <c r="C187" s="72"/>
      <c r="D187" s="72"/>
      <c r="E187" s="72"/>
      <c r="F187" s="72"/>
      <c r="G187" s="72"/>
      <c r="H187" s="72"/>
      <c r="I187" s="72"/>
      <c r="J187" s="72"/>
    </row>
    <row r="188" spans="1:10">
      <c r="A188" s="72"/>
      <c r="B188" s="72"/>
      <c r="C188" s="72"/>
      <c r="D188" s="72"/>
      <c r="E188" s="72"/>
      <c r="F188" s="72"/>
      <c r="G188" s="72"/>
      <c r="H188" s="72"/>
      <c r="I188" s="72"/>
      <c r="J188" s="72"/>
    </row>
    <row r="189" spans="1:10">
      <c r="A189" s="72"/>
      <c r="B189" s="72"/>
      <c r="C189" s="72"/>
      <c r="D189" s="72"/>
      <c r="E189" s="72"/>
      <c r="F189" s="72"/>
      <c r="G189" s="72"/>
      <c r="H189" s="72"/>
      <c r="I189" s="72"/>
      <c r="J189" s="72"/>
    </row>
    <row r="190" spans="1:10">
      <c r="A190" s="72"/>
      <c r="B190" s="72"/>
      <c r="C190" s="72"/>
      <c r="D190" s="72"/>
      <c r="E190" s="72"/>
      <c r="F190" s="72"/>
      <c r="G190" s="72"/>
      <c r="H190" s="72"/>
      <c r="I190" s="72"/>
      <c r="J190" s="72"/>
    </row>
    <row r="191" spans="1:10">
      <c r="A191" s="72"/>
      <c r="B191" s="72"/>
      <c r="C191" s="72"/>
      <c r="D191" s="72"/>
      <c r="E191" s="72"/>
      <c r="F191" s="72"/>
      <c r="G191" s="72"/>
      <c r="H191" s="72"/>
      <c r="I191" s="72"/>
      <c r="J191" s="72"/>
    </row>
    <row r="192" spans="1:10">
      <c r="A192" s="72"/>
      <c r="B192" s="72"/>
      <c r="C192" s="72"/>
      <c r="D192" s="72"/>
      <c r="E192" s="72"/>
      <c r="F192" s="72"/>
      <c r="G192" s="72"/>
      <c r="H192" s="72"/>
      <c r="I192" s="72"/>
      <c r="J192" s="72"/>
    </row>
    <row r="193" spans="1:10">
      <c r="A193" s="72"/>
      <c r="B193" s="72"/>
      <c r="C193" s="72"/>
      <c r="D193" s="72"/>
      <c r="E193" s="72"/>
      <c r="F193" s="72"/>
      <c r="G193" s="72"/>
      <c r="H193" s="72"/>
      <c r="I193" s="72"/>
      <c r="J193" s="72"/>
    </row>
    <row r="194" spans="1:10">
      <c r="A194" s="72"/>
      <c r="B194" s="72"/>
      <c r="C194" s="72"/>
      <c r="D194" s="72"/>
      <c r="E194" s="72"/>
      <c r="F194" s="72"/>
      <c r="G194" s="72"/>
      <c r="H194" s="72"/>
      <c r="I194" s="72"/>
      <c r="J194" s="72"/>
    </row>
    <row r="195" spans="1:10">
      <c r="A195" s="72"/>
      <c r="B195" s="72"/>
      <c r="C195" s="72"/>
      <c r="D195" s="72"/>
      <c r="E195" s="72"/>
      <c r="F195" s="72"/>
      <c r="G195" s="72"/>
      <c r="H195" s="72"/>
      <c r="I195" s="72"/>
      <c r="J195" s="72"/>
    </row>
    <row r="196" spans="1:10">
      <c r="A196" s="72"/>
      <c r="B196" s="72"/>
      <c r="C196" s="72"/>
      <c r="D196" s="72"/>
      <c r="E196" s="72"/>
      <c r="F196" s="72"/>
      <c r="G196" s="72"/>
      <c r="H196" s="72"/>
      <c r="I196" s="72"/>
      <c r="J196" s="72"/>
    </row>
    <row r="197" spans="1:10">
      <c r="A197" s="72"/>
      <c r="B197" s="72"/>
      <c r="C197" s="72"/>
      <c r="D197" s="72"/>
      <c r="E197" s="72"/>
      <c r="F197" s="72"/>
      <c r="G197" s="72"/>
      <c r="H197" s="72"/>
      <c r="I197" s="72"/>
      <c r="J197" s="72"/>
    </row>
    <row r="198" spans="1:10">
      <c r="A198" s="72"/>
      <c r="B198" s="72"/>
      <c r="C198" s="72"/>
      <c r="D198" s="72"/>
      <c r="E198" s="72"/>
      <c r="F198" s="72"/>
      <c r="G198" s="72"/>
      <c r="H198" s="72"/>
      <c r="I198" s="72"/>
      <c r="J198" s="72"/>
    </row>
    <row r="199" spans="1:10">
      <c r="A199" s="72"/>
      <c r="B199" s="72"/>
      <c r="C199" s="72"/>
      <c r="D199" s="72"/>
      <c r="E199" s="72"/>
      <c r="F199" s="72"/>
      <c r="G199" s="72"/>
      <c r="H199" s="72"/>
      <c r="I199" s="72"/>
      <c r="J199" s="72"/>
    </row>
    <row r="200" spans="1:10">
      <c r="A200" s="72"/>
      <c r="B200" s="72"/>
      <c r="C200" s="72"/>
      <c r="D200" s="72"/>
      <c r="E200" s="72"/>
      <c r="F200" s="72"/>
      <c r="G200" s="72"/>
      <c r="H200" s="72"/>
      <c r="I200" s="72"/>
      <c r="J200" s="72"/>
    </row>
    <row r="201" spans="1:10">
      <c r="A201" s="72"/>
      <c r="B201" s="72"/>
      <c r="C201" s="72"/>
      <c r="D201" s="72"/>
      <c r="E201" s="72"/>
      <c r="F201" s="72"/>
      <c r="G201" s="72"/>
      <c r="H201" s="72"/>
      <c r="I201" s="72"/>
      <c r="J201" s="72"/>
    </row>
    <row r="202" spans="1:10">
      <c r="A202" s="72"/>
      <c r="B202" s="72"/>
      <c r="C202" s="72"/>
      <c r="D202" s="72"/>
      <c r="E202" s="72"/>
      <c r="F202" s="72"/>
      <c r="G202" s="72"/>
      <c r="H202" s="72"/>
      <c r="I202" s="72"/>
      <c r="J202" s="72"/>
    </row>
    <row r="203" spans="1:10">
      <c r="A203" s="72"/>
      <c r="B203" s="72"/>
      <c r="C203" s="72"/>
      <c r="D203" s="72"/>
      <c r="E203" s="72"/>
      <c r="F203" s="72"/>
      <c r="G203" s="72"/>
      <c r="H203" s="72"/>
      <c r="I203" s="72"/>
      <c r="J203" s="72"/>
    </row>
    <row r="204" spans="1:10">
      <c r="A204" s="72"/>
      <c r="B204" s="72"/>
      <c r="C204" s="72"/>
      <c r="D204" s="72"/>
      <c r="E204" s="72"/>
      <c r="F204" s="72"/>
      <c r="G204" s="72"/>
      <c r="H204" s="72"/>
      <c r="I204" s="72"/>
      <c r="J204" s="72"/>
    </row>
    <row r="205" spans="1:10">
      <c r="A205" s="72"/>
      <c r="B205" s="72"/>
      <c r="C205" s="72"/>
      <c r="D205" s="72"/>
      <c r="E205" s="72"/>
      <c r="F205" s="72"/>
      <c r="G205" s="72"/>
      <c r="H205" s="72"/>
      <c r="I205" s="72"/>
      <c r="J205" s="72"/>
    </row>
    <row r="206" spans="1:10">
      <c r="A206" s="72"/>
      <c r="B206" s="72"/>
      <c r="C206" s="72"/>
      <c r="D206" s="72"/>
      <c r="E206" s="72"/>
      <c r="F206" s="72"/>
      <c r="G206" s="72"/>
      <c r="H206" s="72"/>
      <c r="I206" s="72"/>
      <c r="J206" s="72"/>
    </row>
    <row r="207" spans="1:10">
      <c r="A207" s="72"/>
      <c r="B207" s="72"/>
      <c r="C207" s="72"/>
      <c r="D207" s="72"/>
      <c r="E207" s="72"/>
      <c r="F207" s="72"/>
      <c r="G207" s="72"/>
      <c r="H207" s="72"/>
      <c r="I207" s="72"/>
      <c r="J207" s="72"/>
    </row>
    <row r="208" spans="1:10">
      <c r="A208" s="72"/>
      <c r="B208" s="72"/>
      <c r="C208" s="72"/>
      <c r="D208" s="72"/>
      <c r="E208" s="72"/>
      <c r="F208" s="72"/>
      <c r="G208" s="72"/>
      <c r="H208" s="72"/>
      <c r="I208" s="72"/>
      <c r="J208" s="72"/>
    </row>
    <row r="209" spans="1:10">
      <c r="A209" s="72"/>
      <c r="B209" s="72"/>
      <c r="C209" s="72"/>
      <c r="D209" s="72"/>
      <c r="E209" s="72"/>
      <c r="F209" s="72"/>
      <c r="G209" s="72"/>
      <c r="H209" s="72"/>
      <c r="I209" s="72"/>
      <c r="J209" s="72"/>
    </row>
    <row r="210" spans="1:10">
      <c r="A210" s="72"/>
      <c r="B210" s="72"/>
      <c r="C210" s="72"/>
      <c r="D210" s="72"/>
      <c r="E210" s="72"/>
      <c r="F210" s="72"/>
      <c r="G210" s="72"/>
      <c r="H210" s="72"/>
      <c r="I210" s="72"/>
      <c r="J210" s="72"/>
    </row>
    <row r="211" spans="1:10">
      <c r="A211" s="72"/>
      <c r="B211" s="72"/>
      <c r="C211" s="72"/>
      <c r="D211" s="72"/>
      <c r="E211" s="72"/>
      <c r="F211" s="72"/>
      <c r="G211" s="72"/>
      <c r="H211" s="72"/>
      <c r="I211" s="72"/>
      <c r="J211" s="72"/>
    </row>
    <row r="212" spans="1:10">
      <c r="A212" s="72"/>
      <c r="B212" s="72"/>
      <c r="C212" s="72"/>
      <c r="D212" s="72"/>
      <c r="E212" s="72"/>
      <c r="F212" s="72"/>
      <c r="G212" s="72"/>
      <c r="H212" s="72"/>
      <c r="I212" s="72"/>
      <c r="J212" s="72"/>
    </row>
    <row r="213" spans="1:10">
      <c r="A213" s="72"/>
      <c r="B213" s="72"/>
      <c r="C213" s="72"/>
      <c r="D213" s="72"/>
      <c r="E213" s="72"/>
      <c r="F213" s="72"/>
      <c r="G213" s="72"/>
      <c r="H213" s="72"/>
      <c r="I213" s="72"/>
      <c r="J213" s="72"/>
    </row>
    <row r="214" spans="1:10">
      <c r="A214" s="72"/>
      <c r="B214" s="72"/>
      <c r="C214" s="72"/>
      <c r="D214" s="72"/>
      <c r="E214" s="72"/>
      <c r="F214" s="72"/>
      <c r="G214" s="72"/>
      <c r="H214" s="72"/>
      <c r="I214" s="72"/>
      <c r="J214" s="72"/>
    </row>
    <row r="215" spans="1:10">
      <c r="A215" s="72"/>
      <c r="B215" s="72"/>
      <c r="C215" s="72"/>
      <c r="D215" s="72"/>
      <c r="E215" s="72"/>
      <c r="F215" s="72"/>
      <c r="G215" s="72"/>
      <c r="H215" s="72"/>
      <c r="I215" s="72"/>
      <c r="J215" s="72"/>
    </row>
    <row r="216" spans="1:10">
      <c r="A216" s="72"/>
      <c r="B216" s="72"/>
      <c r="C216" s="72"/>
      <c r="D216" s="72"/>
      <c r="E216" s="72"/>
      <c r="F216" s="72"/>
      <c r="G216" s="72"/>
      <c r="H216" s="72"/>
      <c r="I216" s="72"/>
      <c r="J216" s="72"/>
    </row>
    <row r="217" spans="1:10">
      <c r="A217" s="72"/>
      <c r="B217" s="72"/>
      <c r="C217" s="72"/>
      <c r="D217" s="72"/>
      <c r="E217" s="72"/>
      <c r="F217" s="72"/>
      <c r="G217" s="72"/>
      <c r="H217" s="72"/>
      <c r="I217" s="72"/>
      <c r="J217" s="72"/>
    </row>
    <row r="218" spans="1:10">
      <c r="A218" s="72"/>
      <c r="B218" s="72"/>
      <c r="C218" s="72"/>
      <c r="D218" s="72"/>
      <c r="E218" s="72"/>
      <c r="F218" s="72"/>
      <c r="G218" s="72"/>
      <c r="H218" s="72"/>
      <c r="I218" s="72"/>
      <c r="J218" s="72"/>
    </row>
    <row r="219" spans="1:10">
      <c r="A219" s="72"/>
      <c r="B219" s="72"/>
      <c r="C219" s="72"/>
      <c r="D219" s="72"/>
      <c r="E219" s="72"/>
      <c r="F219" s="72"/>
      <c r="G219" s="72"/>
      <c r="H219" s="72"/>
      <c r="I219" s="72"/>
      <c r="J219" s="72"/>
    </row>
    <row r="220" spans="1:10">
      <c r="A220" s="72"/>
      <c r="B220" s="72"/>
      <c r="C220" s="72"/>
      <c r="D220" s="72"/>
      <c r="E220" s="72"/>
      <c r="F220" s="72"/>
      <c r="G220" s="72"/>
      <c r="H220" s="72"/>
      <c r="I220" s="72"/>
      <c r="J220" s="72"/>
    </row>
    <row r="221" spans="1:10">
      <c r="A221" s="72"/>
      <c r="B221" s="72"/>
      <c r="C221" s="72"/>
      <c r="D221" s="72"/>
      <c r="E221" s="72"/>
      <c r="F221" s="72"/>
      <c r="G221" s="72"/>
      <c r="H221" s="72"/>
      <c r="I221" s="72"/>
      <c r="J221" s="72"/>
    </row>
    <row r="222" spans="1:10">
      <c r="A222" s="72"/>
      <c r="B222" s="72"/>
      <c r="C222" s="72"/>
      <c r="D222" s="72"/>
      <c r="E222" s="72"/>
      <c r="F222" s="72"/>
      <c r="G222" s="72"/>
      <c r="H222" s="72"/>
      <c r="I222" s="72"/>
      <c r="J222" s="72"/>
    </row>
    <row r="223" spans="1:10">
      <c r="A223" s="72"/>
      <c r="B223" s="72"/>
      <c r="C223" s="72"/>
      <c r="D223" s="72"/>
      <c r="E223" s="72"/>
      <c r="F223" s="72"/>
      <c r="G223" s="72"/>
      <c r="H223" s="72"/>
      <c r="I223" s="72"/>
      <c r="J223" s="72"/>
    </row>
    <row r="224" spans="1:10">
      <c r="A224" s="72"/>
      <c r="B224" s="72"/>
      <c r="C224" s="72"/>
      <c r="D224" s="72"/>
      <c r="E224" s="72"/>
      <c r="F224" s="72"/>
      <c r="G224" s="72"/>
      <c r="H224" s="72"/>
      <c r="I224" s="72"/>
      <c r="J224" s="72"/>
    </row>
    <row r="225" spans="1:10">
      <c r="A225" s="72"/>
      <c r="B225" s="72"/>
      <c r="C225" s="72"/>
      <c r="D225" s="72"/>
      <c r="E225" s="72"/>
      <c r="F225" s="72"/>
      <c r="G225" s="72"/>
      <c r="H225" s="72"/>
      <c r="I225" s="72"/>
      <c r="J225" s="72"/>
    </row>
    <row r="226" spans="1:10">
      <c r="A226" s="72"/>
      <c r="B226" s="72"/>
      <c r="C226" s="72"/>
      <c r="D226" s="72"/>
      <c r="E226" s="72"/>
      <c r="F226" s="72"/>
      <c r="G226" s="72"/>
      <c r="H226" s="72"/>
      <c r="I226" s="72"/>
      <c r="J226" s="72"/>
    </row>
    <row r="227" spans="1:10">
      <c r="A227" s="72"/>
      <c r="B227" s="72"/>
      <c r="C227" s="72"/>
      <c r="D227" s="72"/>
      <c r="E227" s="72"/>
      <c r="F227" s="72"/>
      <c r="G227" s="72"/>
      <c r="H227" s="72"/>
      <c r="I227" s="72"/>
      <c r="J227" s="72"/>
    </row>
    <row r="228" spans="1:10">
      <c r="A228" s="72"/>
      <c r="B228" s="72"/>
      <c r="C228" s="72"/>
      <c r="D228" s="72"/>
      <c r="E228" s="72"/>
      <c r="F228" s="72"/>
      <c r="G228" s="72"/>
      <c r="H228" s="72"/>
      <c r="I228" s="72"/>
      <c r="J228" s="72"/>
    </row>
    <row r="229" spans="1:10">
      <c r="A229" s="72"/>
      <c r="B229" s="72"/>
      <c r="C229" s="72"/>
      <c r="D229" s="72"/>
      <c r="E229" s="72"/>
      <c r="F229" s="72"/>
      <c r="G229" s="72"/>
      <c r="H229" s="72"/>
      <c r="I229" s="72"/>
      <c r="J229" s="72"/>
    </row>
    <row r="230" spans="1:10">
      <c r="A230" s="72"/>
      <c r="B230" s="72"/>
      <c r="C230" s="72"/>
      <c r="D230" s="72"/>
      <c r="E230" s="72"/>
      <c r="F230" s="72"/>
      <c r="G230" s="72"/>
      <c r="H230" s="72"/>
      <c r="I230" s="72"/>
      <c r="J230" s="72"/>
    </row>
    <row r="231" spans="1:10">
      <c r="A231" s="72"/>
      <c r="B231" s="72"/>
      <c r="C231" s="72"/>
      <c r="D231" s="72"/>
      <c r="E231" s="72"/>
      <c r="F231" s="72"/>
      <c r="G231" s="72"/>
      <c r="H231" s="72"/>
      <c r="I231" s="72"/>
      <c r="J231" s="72"/>
    </row>
    <row r="232" spans="1:10">
      <c r="A232" s="72"/>
      <c r="B232" s="72"/>
      <c r="C232" s="72"/>
      <c r="D232" s="72"/>
      <c r="E232" s="72"/>
      <c r="F232" s="72"/>
      <c r="G232" s="72"/>
      <c r="H232" s="72"/>
      <c r="I232" s="72"/>
      <c r="J232" s="72"/>
    </row>
    <row r="233" spans="1:10">
      <c r="A233" s="72"/>
      <c r="B233" s="72"/>
      <c r="C233" s="72"/>
      <c r="D233" s="72"/>
      <c r="E233" s="72"/>
      <c r="F233" s="72"/>
      <c r="G233" s="72"/>
      <c r="H233" s="72"/>
      <c r="I233" s="72"/>
      <c r="J233" s="72"/>
    </row>
    <row r="234" spans="1:10">
      <c r="A234" s="72"/>
      <c r="B234" s="72"/>
      <c r="C234" s="72"/>
      <c r="D234" s="72"/>
      <c r="E234" s="72"/>
      <c r="F234" s="72"/>
      <c r="G234" s="72"/>
      <c r="H234" s="72"/>
      <c r="I234" s="72"/>
      <c r="J234" s="72"/>
    </row>
    <row r="235" spans="1:10">
      <c r="A235" s="72"/>
      <c r="B235" s="72"/>
      <c r="C235" s="72"/>
      <c r="D235" s="72"/>
      <c r="E235" s="72"/>
      <c r="F235" s="72"/>
      <c r="G235" s="72"/>
      <c r="H235" s="72"/>
      <c r="I235" s="72"/>
      <c r="J235" s="72"/>
    </row>
    <row r="236" spans="1:10">
      <c r="A236" s="72"/>
      <c r="B236" s="72"/>
      <c r="C236" s="72"/>
      <c r="D236" s="72"/>
      <c r="E236" s="72"/>
      <c r="F236" s="72"/>
      <c r="G236" s="72"/>
      <c r="H236" s="72"/>
      <c r="I236" s="72"/>
      <c r="J236" s="72"/>
    </row>
    <row r="237" spans="1:10">
      <c r="A237" s="72"/>
      <c r="B237" s="72"/>
      <c r="C237" s="72"/>
      <c r="D237" s="72"/>
      <c r="E237" s="72"/>
      <c r="F237" s="72"/>
      <c r="G237" s="72"/>
      <c r="H237" s="72"/>
      <c r="I237" s="72"/>
      <c r="J237" s="72"/>
    </row>
    <row r="238" spans="1:10">
      <c r="A238" s="72"/>
      <c r="B238" s="72"/>
      <c r="C238" s="72"/>
      <c r="D238" s="72"/>
      <c r="E238" s="72"/>
      <c r="F238" s="72"/>
      <c r="G238" s="72"/>
      <c r="H238" s="72"/>
      <c r="I238" s="72"/>
      <c r="J238" s="72"/>
    </row>
    <row r="239" spans="1:10">
      <c r="A239" s="72"/>
      <c r="B239" s="72"/>
      <c r="C239" s="72"/>
      <c r="D239" s="72"/>
      <c r="E239" s="72"/>
      <c r="F239" s="72"/>
      <c r="G239" s="72"/>
      <c r="H239" s="72"/>
      <c r="I239" s="72"/>
      <c r="J239" s="72"/>
    </row>
    <row r="240" spans="1:10">
      <c r="A240" s="72"/>
      <c r="B240" s="72"/>
      <c r="C240" s="72"/>
      <c r="D240" s="72"/>
      <c r="E240" s="72"/>
      <c r="F240" s="72"/>
      <c r="G240" s="72"/>
      <c r="H240" s="72"/>
      <c r="I240" s="72"/>
      <c r="J240" s="72"/>
    </row>
    <row r="241" spans="1:10">
      <c r="A241" s="72"/>
      <c r="B241" s="72"/>
      <c r="C241" s="72"/>
      <c r="D241" s="72"/>
      <c r="E241" s="72"/>
      <c r="F241" s="72"/>
      <c r="G241" s="72"/>
      <c r="H241" s="72"/>
      <c r="I241" s="72"/>
      <c r="J241" s="72"/>
    </row>
    <row r="242" spans="1:10">
      <c r="A242" s="72"/>
      <c r="B242" s="72"/>
      <c r="C242" s="72"/>
      <c r="D242" s="72"/>
      <c r="E242" s="72"/>
      <c r="F242" s="72"/>
      <c r="G242" s="72"/>
      <c r="H242" s="72"/>
      <c r="I242" s="72"/>
      <c r="J242" s="72"/>
    </row>
    <row r="243" spans="1:10">
      <c r="A243" s="72"/>
      <c r="B243" s="72"/>
      <c r="C243" s="72"/>
      <c r="D243" s="72"/>
      <c r="E243" s="72"/>
      <c r="F243" s="72"/>
      <c r="G243" s="72"/>
      <c r="H243" s="72"/>
      <c r="I243" s="72"/>
      <c r="J243" s="72"/>
    </row>
    <row r="244" spans="1:10">
      <c r="A244" s="72"/>
      <c r="B244" s="72"/>
      <c r="C244" s="72"/>
      <c r="D244" s="72"/>
      <c r="E244" s="72"/>
      <c r="F244" s="72"/>
      <c r="G244" s="72"/>
      <c r="H244" s="72"/>
      <c r="I244" s="72"/>
      <c r="J244" s="72"/>
    </row>
    <row r="245" spans="1:10">
      <c r="A245" s="72"/>
      <c r="B245" s="72"/>
      <c r="C245" s="72"/>
      <c r="D245" s="72"/>
      <c r="E245" s="72"/>
      <c r="F245" s="72"/>
      <c r="G245" s="72"/>
      <c r="H245" s="72"/>
      <c r="I245" s="72"/>
      <c r="J245" s="72"/>
    </row>
    <row r="246" spans="1:10">
      <c r="A246" s="72"/>
      <c r="B246" s="72"/>
      <c r="C246" s="72"/>
      <c r="D246" s="72"/>
      <c r="E246" s="72"/>
      <c r="F246" s="72"/>
      <c r="G246" s="72"/>
      <c r="H246" s="72"/>
      <c r="I246" s="72"/>
      <c r="J246" s="72"/>
    </row>
    <row r="247" spans="1:10">
      <c r="A247" s="72"/>
      <c r="B247" s="72"/>
      <c r="C247" s="72"/>
      <c r="D247" s="72"/>
      <c r="E247" s="72"/>
      <c r="F247" s="72"/>
      <c r="G247" s="72"/>
      <c r="H247" s="72"/>
      <c r="I247" s="72"/>
      <c r="J247" s="72"/>
    </row>
    <row r="248" spans="1:10">
      <c r="A248" s="72"/>
      <c r="B248" s="72"/>
      <c r="C248" s="72"/>
      <c r="D248" s="72"/>
      <c r="E248" s="72"/>
      <c r="F248" s="72"/>
      <c r="G248" s="72"/>
      <c r="H248" s="72"/>
      <c r="I248" s="72"/>
      <c r="J248" s="72"/>
    </row>
    <row r="249" spans="1:10">
      <c r="A249" s="72"/>
      <c r="B249" s="72"/>
      <c r="C249" s="72"/>
      <c r="D249" s="72"/>
      <c r="E249" s="72"/>
      <c r="F249" s="72"/>
      <c r="G249" s="72"/>
      <c r="H249" s="72"/>
      <c r="I249" s="72"/>
      <c r="J249" s="72"/>
    </row>
    <row r="250" spans="1:10">
      <c r="A250" s="72"/>
      <c r="B250" s="72"/>
      <c r="C250" s="72"/>
      <c r="D250" s="72"/>
      <c r="E250" s="72"/>
      <c r="F250" s="72"/>
      <c r="G250" s="72"/>
      <c r="H250" s="72"/>
      <c r="I250" s="72"/>
      <c r="J250" s="72"/>
    </row>
    <row r="251" spans="1:10">
      <c r="A251" s="72"/>
      <c r="B251" s="72"/>
      <c r="C251" s="72"/>
      <c r="D251" s="72"/>
      <c r="E251" s="72"/>
      <c r="F251" s="72"/>
      <c r="G251" s="72"/>
      <c r="H251" s="72"/>
      <c r="I251" s="72"/>
      <c r="J251" s="72"/>
    </row>
    <row r="252" spans="1:10">
      <c r="A252" s="72"/>
      <c r="B252" s="72"/>
      <c r="C252" s="72"/>
      <c r="D252" s="72"/>
      <c r="E252" s="72"/>
      <c r="F252" s="72"/>
      <c r="G252" s="72"/>
      <c r="H252" s="72"/>
      <c r="I252" s="72"/>
      <c r="J252" s="72"/>
    </row>
    <row r="253" spans="1:10">
      <c r="A253" s="72"/>
      <c r="B253" s="72"/>
      <c r="C253" s="72"/>
      <c r="D253" s="72"/>
      <c r="E253" s="72"/>
      <c r="F253" s="72"/>
      <c r="G253" s="72"/>
      <c r="H253" s="72"/>
      <c r="I253" s="72"/>
      <c r="J253" s="72"/>
    </row>
    <row r="254" spans="1:10">
      <c r="A254" s="72"/>
      <c r="B254" s="72"/>
      <c r="C254" s="72"/>
      <c r="D254" s="72"/>
      <c r="E254" s="72"/>
      <c r="F254" s="72"/>
      <c r="G254" s="72"/>
      <c r="H254" s="72"/>
      <c r="I254" s="72"/>
      <c r="J254" s="72"/>
    </row>
    <row r="255" spans="1:10">
      <c r="A255" s="72"/>
      <c r="B255" s="72"/>
      <c r="C255" s="72"/>
      <c r="D255" s="72"/>
      <c r="E255" s="72"/>
      <c r="F255" s="72"/>
      <c r="G255" s="72"/>
      <c r="H255" s="72"/>
      <c r="I255" s="72"/>
      <c r="J255" s="72"/>
    </row>
    <row r="256" spans="1:10">
      <c r="A256" s="72"/>
      <c r="B256" s="72"/>
      <c r="C256" s="72"/>
      <c r="D256" s="72"/>
      <c r="E256" s="72"/>
      <c r="F256" s="72"/>
      <c r="G256" s="72"/>
      <c r="H256" s="72"/>
      <c r="I256" s="72"/>
      <c r="J256" s="72"/>
    </row>
    <row r="257" spans="1:10">
      <c r="A257" s="72"/>
      <c r="B257" s="72"/>
      <c r="C257" s="72"/>
      <c r="D257" s="72"/>
      <c r="E257" s="72"/>
      <c r="F257" s="72"/>
      <c r="G257" s="72"/>
      <c r="H257" s="72"/>
      <c r="I257" s="72"/>
      <c r="J257" s="72"/>
    </row>
    <row r="258" spans="1:10">
      <c r="A258" s="72"/>
      <c r="B258" s="72"/>
      <c r="C258" s="72"/>
      <c r="D258" s="72"/>
      <c r="E258" s="72"/>
      <c r="F258" s="72"/>
      <c r="G258" s="72"/>
      <c r="H258" s="72"/>
      <c r="I258" s="72"/>
      <c r="J258" s="72"/>
    </row>
    <row r="259" spans="1:10">
      <c r="A259" s="72"/>
      <c r="B259" s="72"/>
      <c r="C259" s="72"/>
      <c r="D259" s="72"/>
      <c r="E259" s="72"/>
      <c r="F259" s="72"/>
      <c r="G259" s="72"/>
      <c r="H259" s="72"/>
      <c r="I259" s="72"/>
      <c r="J259" s="72"/>
    </row>
    <row r="260" spans="1:10">
      <c r="A260" s="72"/>
      <c r="B260" s="72"/>
      <c r="C260" s="72"/>
      <c r="D260" s="72"/>
      <c r="E260" s="72"/>
      <c r="F260" s="72"/>
      <c r="G260" s="72"/>
      <c r="H260" s="72"/>
      <c r="I260" s="72"/>
      <c r="J260" s="72"/>
    </row>
    <row r="261" spans="1:10">
      <c r="A261" s="72"/>
      <c r="B261" s="72"/>
      <c r="C261" s="72"/>
      <c r="D261" s="72"/>
      <c r="E261" s="72"/>
      <c r="F261" s="72"/>
      <c r="G261" s="72"/>
      <c r="H261" s="72"/>
      <c r="I261" s="72"/>
      <c r="J261" s="72"/>
    </row>
    <row r="262" spans="1:10">
      <c r="A262" s="72"/>
      <c r="B262" s="72"/>
      <c r="C262" s="72"/>
      <c r="D262" s="72"/>
      <c r="E262" s="72"/>
      <c r="F262" s="72"/>
      <c r="G262" s="72"/>
      <c r="H262" s="72"/>
      <c r="I262" s="72"/>
      <c r="J262" s="72"/>
    </row>
    <row r="263" spans="1:10">
      <c r="A263" s="72"/>
      <c r="B263" s="72"/>
      <c r="C263" s="72"/>
      <c r="D263" s="72"/>
      <c r="E263" s="72"/>
      <c r="F263" s="72"/>
      <c r="G263" s="72"/>
      <c r="H263" s="72"/>
      <c r="I263" s="72"/>
      <c r="J263" s="72"/>
    </row>
    <row r="264" spans="1:10">
      <c r="A264" s="72"/>
      <c r="B264" s="72"/>
      <c r="C264" s="72"/>
      <c r="D264" s="72"/>
      <c r="E264" s="72"/>
      <c r="F264" s="72"/>
      <c r="G264" s="72"/>
      <c r="H264" s="72"/>
      <c r="I264" s="72"/>
      <c r="J264" s="72"/>
    </row>
    <row r="265" spans="1:10">
      <c r="A265" s="72"/>
      <c r="B265" s="72"/>
      <c r="C265" s="72"/>
      <c r="D265" s="72"/>
      <c r="E265" s="72"/>
      <c r="F265" s="72"/>
      <c r="G265" s="72"/>
      <c r="H265" s="72"/>
      <c r="I265" s="72"/>
      <c r="J265" s="72"/>
    </row>
    <row r="266" spans="1:10">
      <c r="A266" s="72"/>
      <c r="B266" s="72"/>
      <c r="C266" s="72"/>
      <c r="D266" s="72"/>
      <c r="E266" s="72"/>
      <c r="F266" s="72"/>
      <c r="G266" s="72"/>
      <c r="H266" s="72"/>
      <c r="I266" s="72"/>
      <c r="J266" s="72"/>
    </row>
    <row r="267" spans="1:10">
      <c r="A267" s="72"/>
      <c r="B267" s="72"/>
      <c r="C267" s="72"/>
      <c r="D267" s="72"/>
      <c r="E267" s="72"/>
      <c r="F267" s="72"/>
      <c r="G267" s="72"/>
      <c r="H267" s="72"/>
      <c r="I267" s="72"/>
      <c r="J267" s="72"/>
    </row>
    <row r="268" spans="1:10">
      <c r="A268" s="72"/>
      <c r="B268" s="72"/>
      <c r="C268" s="72"/>
      <c r="D268" s="72"/>
      <c r="E268" s="72"/>
      <c r="F268" s="72"/>
      <c r="G268" s="72"/>
      <c r="H268" s="72"/>
      <c r="I268" s="72"/>
      <c r="J268" s="72"/>
    </row>
    <row r="269" spans="1:10">
      <c r="A269" s="72"/>
      <c r="B269" s="72"/>
      <c r="C269" s="72"/>
      <c r="D269" s="72"/>
      <c r="E269" s="72"/>
      <c r="F269" s="72"/>
      <c r="G269" s="72"/>
      <c r="H269" s="72"/>
      <c r="I269" s="72"/>
      <c r="J269" s="72"/>
    </row>
    <row r="270" spans="1:10">
      <c r="A270" s="72"/>
      <c r="B270" s="72"/>
      <c r="C270" s="72"/>
      <c r="D270" s="72"/>
      <c r="E270" s="72"/>
      <c r="F270" s="72"/>
      <c r="G270" s="72"/>
      <c r="H270" s="72"/>
      <c r="I270" s="72"/>
      <c r="J270" s="72"/>
    </row>
    <row r="271" spans="1:10">
      <c r="A271" s="72"/>
      <c r="B271" s="72"/>
      <c r="C271" s="72"/>
      <c r="D271" s="72"/>
      <c r="E271" s="72"/>
      <c r="F271" s="72"/>
      <c r="G271" s="72"/>
      <c r="H271" s="72"/>
      <c r="I271" s="72"/>
      <c r="J271" s="72"/>
    </row>
    <row r="272" spans="1:10">
      <c r="A272" s="72"/>
      <c r="B272" s="72"/>
      <c r="C272" s="72"/>
      <c r="D272" s="72"/>
      <c r="E272" s="72"/>
      <c r="F272" s="72"/>
      <c r="G272" s="72"/>
      <c r="H272" s="72"/>
      <c r="I272" s="72"/>
      <c r="J272" s="72"/>
    </row>
    <row r="273" spans="1:10">
      <c r="A273" s="72"/>
      <c r="B273" s="72"/>
      <c r="C273" s="72"/>
      <c r="D273" s="72"/>
      <c r="E273" s="72"/>
      <c r="F273" s="72"/>
      <c r="G273" s="72"/>
      <c r="H273" s="72"/>
      <c r="I273" s="72"/>
      <c r="J273" s="72"/>
    </row>
    <row r="274" spans="1:10">
      <c r="A274" s="72"/>
      <c r="B274" s="72"/>
      <c r="C274" s="72"/>
      <c r="D274" s="72"/>
      <c r="E274" s="72"/>
      <c r="F274" s="72"/>
      <c r="G274" s="72"/>
      <c r="H274" s="72"/>
      <c r="I274" s="72"/>
      <c r="J274" s="72"/>
    </row>
    <row r="275" spans="1:10">
      <c r="A275" s="72"/>
      <c r="B275" s="72"/>
      <c r="C275" s="72"/>
      <c r="D275" s="72"/>
      <c r="E275" s="72"/>
      <c r="F275" s="72"/>
      <c r="G275" s="72"/>
      <c r="H275" s="72"/>
      <c r="I275" s="72"/>
      <c r="J275" s="72"/>
    </row>
    <row r="276" spans="1:10">
      <c r="A276" s="72"/>
      <c r="B276" s="72"/>
      <c r="C276" s="72"/>
      <c r="D276" s="72"/>
      <c r="E276" s="72"/>
      <c r="F276" s="72"/>
      <c r="G276" s="72"/>
      <c r="H276" s="72"/>
      <c r="I276" s="72"/>
      <c r="J276" s="72"/>
    </row>
    <row r="277" spans="1:10">
      <c r="A277" s="72"/>
      <c r="B277" s="72"/>
      <c r="C277" s="72"/>
      <c r="D277" s="72"/>
      <c r="E277" s="72"/>
      <c r="F277" s="72"/>
      <c r="G277" s="72"/>
      <c r="H277" s="72"/>
      <c r="I277" s="72"/>
      <c r="J277" s="72"/>
    </row>
    <row r="278" spans="1:10">
      <c r="A278" s="72"/>
      <c r="B278" s="72"/>
      <c r="C278" s="72"/>
      <c r="D278" s="72"/>
      <c r="E278" s="72"/>
      <c r="F278" s="72"/>
      <c r="G278" s="72"/>
      <c r="H278" s="72"/>
      <c r="I278" s="72"/>
      <c r="J278" s="72"/>
    </row>
    <row r="279" spans="1:10">
      <c r="A279" s="72"/>
      <c r="B279" s="72"/>
      <c r="C279" s="72"/>
      <c r="D279" s="72"/>
      <c r="E279" s="72"/>
      <c r="F279" s="72"/>
      <c r="G279" s="72"/>
      <c r="H279" s="72"/>
      <c r="I279" s="72"/>
      <c r="J279" s="72"/>
    </row>
    <row r="280" spans="1:10">
      <c r="A280" s="72"/>
      <c r="B280" s="72"/>
      <c r="C280" s="72"/>
      <c r="D280" s="72"/>
      <c r="E280" s="72"/>
      <c r="F280" s="72"/>
      <c r="G280" s="72"/>
      <c r="H280" s="72"/>
      <c r="I280" s="72"/>
      <c r="J280" s="72"/>
    </row>
    <row r="281" spans="1:10">
      <c r="A281" s="72"/>
      <c r="B281" s="72"/>
      <c r="C281" s="72"/>
      <c r="D281" s="72"/>
      <c r="E281" s="72"/>
      <c r="F281" s="72"/>
      <c r="G281" s="72"/>
      <c r="H281" s="72"/>
      <c r="I281" s="72"/>
      <c r="J281" s="72"/>
    </row>
    <row r="282" spans="1:10">
      <c r="A282" s="72"/>
      <c r="B282" s="72"/>
      <c r="C282" s="72"/>
      <c r="D282" s="72"/>
      <c r="E282" s="72"/>
      <c r="F282" s="72"/>
      <c r="G282" s="72"/>
      <c r="H282" s="72"/>
      <c r="I282" s="72"/>
      <c r="J282" s="72"/>
    </row>
    <row r="283" spans="1:10">
      <c r="A283" s="72"/>
      <c r="B283" s="72"/>
      <c r="C283" s="72"/>
      <c r="D283" s="72"/>
      <c r="E283" s="72"/>
      <c r="F283" s="72"/>
      <c r="G283" s="72"/>
      <c r="H283" s="72"/>
      <c r="I283" s="72"/>
      <c r="J283" s="72"/>
    </row>
    <row r="284" spans="1:10">
      <c r="A284" s="72"/>
      <c r="B284" s="72"/>
      <c r="C284" s="72"/>
      <c r="D284" s="72"/>
      <c r="E284" s="72"/>
      <c r="F284" s="72"/>
      <c r="G284" s="72"/>
      <c r="H284" s="72"/>
      <c r="I284" s="72"/>
      <c r="J284" s="72"/>
    </row>
    <row r="285" spans="1:10">
      <c r="A285" s="72"/>
      <c r="B285" s="72"/>
      <c r="C285" s="72"/>
      <c r="D285" s="72"/>
      <c r="E285" s="72"/>
      <c r="F285" s="72"/>
      <c r="G285" s="72"/>
      <c r="H285" s="72"/>
      <c r="I285" s="72"/>
      <c r="J285" s="72"/>
    </row>
    <row r="286" spans="1:10">
      <c r="A286" s="72"/>
      <c r="B286" s="72"/>
      <c r="C286" s="72"/>
      <c r="D286" s="72"/>
      <c r="E286" s="72"/>
      <c r="F286" s="72"/>
      <c r="G286" s="72"/>
      <c r="H286" s="72"/>
      <c r="I286" s="72"/>
      <c r="J286" s="72"/>
    </row>
    <row r="287" spans="1:10">
      <c r="A287" s="72"/>
      <c r="B287" s="72"/>
      <c r="C287" s="72"/>
      <c r="D287" s="72"/>
      <c r="E287" s="72"/>
      <c r="F287" s="72"/>
      <c r="G287" s="72"/>
      <c r="H287" s="72"/>
      <c r="I287" s="72"/>
      <c r="J287" s="72"/>
    </row>
    <row r="288" spans="1:10">
      <c r="A288" s="72"/>
      <c r="B288" s="72"/>
      <c r="C288" s="72"/>
      <c r="D288" s="72"/>
      <c r="E288" s="72"/>
      <c r="F288" s="72"/>
      <c r="G288" s="72"/>
      <c r="H288" s="72"/>
      <c r="I288" s="72"/>
      <c r="J288" s="72"/>
    </row>
    <row r="289" spans="1:10">
      <c r="A289" s="72"/>
      <c r="B289" s="72"/>
      <c r="C289" s="72"/>
      <c r="D289" s="72"/>
      <c r="E289" s="72"/>
      <c r="F289" s="72"/>
      <c r="G289" s="72"/>
      <c r="H289" s="72"/>
      <c r="I289" s="72"/>
      <c r="J289" s="72"/>
    </row>
    <row r="290" spans="1:10">
      <c r="A290" s="72"/>
      <c r="B290" s="72"/>
      <c r="C290" s="72"/>
      <c r="D290" s="72"/>
      <c r="E290" s="72"/>
      <c r="F290" s="72"/>
      <c r="G290" s="72"/>
      <c r="H290" s="72"/>
      <c r="I290" s="72"/>
      <c r="J290" s="72"/>
    </row>
    <row r="291" spans="1:10">
      <c r="A291" s="72"/>
      <c r="B291" s="72"/>
      <c r="C291" s="72"/>
      <c r="D291" s="72"/>
      <c r="E291" s="72"/>
      <c r="F291" s="72"/>
      <c r="G291" s="72"/>
      <c r="H291" s="72"/>
      <c r="I291" s="72"/>
      <c r="J291" s="72"/>
    </row>
    <row r="292" spans="1:10">
      <c r="A292" s="72"/>
      <c r="B292" s="72"/>
      <c r="C292" s="72"/>
      <c r="D292" s="72"/>
      <c r="E292" s="72"/>
      <c r="F292" s="72"/>
      <c r="G292" s="72"/>
      <c r="H292" s="72"/>
      <c r="I292" s="72"/>
      <c r="J292" s="72"/>
    </row>
    <row r="293" spans="1:10">
      <c r="A293" s="72"/>
      <c r="B293" s="72"/>
      <c r="C293" s="72"/>
      <c r="D293" s="72"/>
      <c r="E293" s="72"/>
      <c r="F293" s="72"/>
      <c r="G293" s="72"/>
      <c r="H293" s="72"/>
      <c r="I293" s="72"/>
      <c r="J293" s="72"/>
    </row>
    <row r="294" spans="1:10">
      <c r="A294" s="72"/>
      <c r="B294" s="72"/>
      <c r="C294" s="72"/>
      <c r="D294" s="72"/>
      <c r="E294" s="72"/>
      <c r="F294" s="72"/>
      <c r="G294" s="72"/>
      <c r="H294" s="72"/>
      <c r="I294" s="72"/>
      <c r="J294" s="72"/>
    </row>
    <row r="295" spans="1:10">
      <c r="A295" s="72"/>
      <c r="B295" s="72"/>
      <c r="C295" s="72"/>
      <c r="D295" s="72"/>
      <c r="E295" s="72"/>
      <c r="F295" s="72"/>
      <c r="G295" s="72"/>
      <c r="H295" s="72"/>
      <c r="I295" s="72"/>
      <c r="J295" s="72"/>
    </row>
    <row r="296" spans="1:10">
      <c r="A296" s="72"/>
      <c r="B296" s="72"/>
      <c r="C296" s="72"/>
      <c r="D296" s="72"/>
      <c r="E296" s="72"/>
      <c r="F296" s="72"/>
      <c r="G296" s="72"/>
      <c r="H296" s="72"/>
      <c r="I296" s="72"/>
      <c r="J296" s="72"/>
    </row>
    <row r="297" spans="1:10">
      <c r="A297" s="72"/>
      <c r="B297" s="72"/>
      <c r="C297" s="72"/>
      <c r="D297" s="72"/>
      <c r="E297" s="72"/>
      <c r="F297" s="72"/>
      <c r="G297" s="72"/>
      <c r="H297" s="72"/>
      <c r="I297" s="72"/>
      <c r="J297" s="72"/>
    </row>
    <row r="298" spans="1:10">
      <c r="A298" s="72"/>
      <c r="B298" s="72"/>
      <c r="C298" s="72"/>
      <c r="D298" s="72"/>
      <c r="E298" s="72"/>
      <c r="F298" s="72"/>
      <c r="G298" s="72"/>
      <c r="H298" s="72"/>
      <c r="I298" s="72"/>
      <c r="J298" s="72"/>
    </row>
    <row r="299" spans="1:10">
      <c r="A299" s="72"/>
      <c r="B299" s="72"/>
      <c r="C299" s="72"/>
      <c r="D299" s="72"/>
      <c r="E299" s="72"/>
      <c r="F299" s="72"/>
      <c r="G299" s="72"/>
      <c r="H299" s="72"/>
      <c r="I299" s="72"/>
      <c r="J299" s="72"/>
    </row>
    <row r="300" spans="1:10">
      <c r="A300" s="72"/>
      <c r="B300" s="72"/>
      <c r="C300" s="72"/>
      <c r="D300" s="72"/>
      <c r="E300" s="72"/>
      <c r="F300" s="72"/>
      <c r="G300" s="72"/>
      <c r="H300" s="72"/>
      <c r="I300" s="72"/>
      <c r="J300" s="72"/>
    </row>
    <row r="301" spans="1:10">
      <c r="A301" s="72"/>
      <c r="B301" s="72"/>
      <c r="C301" s="72"/>
      <c r="D301" s="72"/>
      <c r="E301" s="72"/>
      <c r="F301" s="72"/>
      <c r="G301" s="72"/>
      <c r="H301" s="72"/>
      <c r="I301" s="72"/>
      <c r="J301" s="72"/>
    </row>
    <row r="302" spans="1:10">
      <c r="A302" s="72"/>
      <c r="B302" s="72"/>
      <c r="C302" s="72"/>
      <c r="D302" s="72"/>
      <c r="E302" s="72"/>
      <c r="F302" s="72"/>
      <c r="G302" s="72"/>
      <c r="H302" s="72"/>
      <c r="I302" s="72"/>
      <c r="J302" s="72"/>
    </row>
    <row r="303" spans="1:10">
      <c r="A303" s="72"/>
      <c r="B303" s="72"/>
      <c r="C303" s="72"/>
      <c r="D303" s="72"/>
      <c r="E303" s="72"/>
      <c r="F303" s="72"/>
      <c r="G303" s="72"/>
      <c r="H303" s="72"/>
      <c r="I303" s="72"/>
      <c r="J303" s="72"/>
    </row>
    <row r="304" spans="1:10">
      <c r="A304" s="72"/>
      <c r="B304" s="72"/>
      <c r="C304" s="72"/>
      <c r="D304" s="72"/>
      <c r="E304" s="72"/>
      <c r="F304" s="72"/>
      <c r="G304" s="72"/>
      <c r="H304" s="72"/>
      <c r="I304" s="72"/>
      <c r="J304" s="72"/>
    </row>
    <row r="305" spans="1:10">
      <c r="A305" s="72"/>
      <c r="B305" s="72"/>
      <c r="C305" s="72"/>
      <c r="D305" s="72"/>
      <c r="E305" s="72"/>
      <c r="F305" s="72"/>
      <c r="G305" s="72"/>
      <c r="H305" s="72"/>
      <c r="I305" s="72"/>
      <c r="J305" s="72"/>
    </row>
    <row r="306" spans="1:10">
      <c r="A306" s="72"/>
      <c r="B306" s="72"/>
      <c r="C306" s="72"/>
      <c r="D306" s="72"/>
      <c r="E306" s="72"/>
      <c r="F306" s="72"/>
      <c r="G306" s="72"/>
      <c r="H306" s="72"/>
      <c r="I306" s="72"/>
      <c r="J306" s="72"/>
    </row>
    <row r="307" spans="1:10">
      <c r="A307" s="72"/>
      <c r="B307" s="72"/>
      <c r="C307" s="72"/>
      <c r="D307" s="72"/>
      <c r="E307" s="72"/>
      <c r="F307" s="72"/>
      <c r="G307" s="72"/>
      <c r="H307" s="72"/>
      <c r="I307" s="72"/>
      <c r="J307" s="72"/>
    </row>
    <row r="308" spans="1:10">
      <c r="A308" s="72"/>
      <c r="B308" s="72"/>
      <c r="C308" s="72"/>
      <c r="D308" s="72"/>
      <c r="E308" s="72"/>
      <c r="F308" s="72"/>
      <c r="G308" s="72"/>
      <c r="H308" s="72"/>
      <c r="I308" s="72"/>
      <c r="J308" s="72"/>
    </row>
    <row r="309" spans="1:10">
      <c r="A309" s="72"/>
      <c r="B309" s="72"/>
      <c r="C309" s="72"/>
      <c r="D309" s="72"/>
      <c r="E309" s="72"/>
      <c r="F309" s="72"/>
      <c r="G309" s="72"/>
      <c r="H309" s="72"/>
      <c r="I309" s="72"/>
      <c r="J309" s="72"/>
    </row>
    <row r="310" spans="1:10">
      <c r="A310" s="72"/>
      <c r="B310" s="72"/>
      <c r="C310" s="72"/>
      <c r="D310" s="72"/>
      <c r="E310" s="72"/>
      <c r="F310" s="72"/>
      <c r="G310" s="72"/>
      <c r="H310" s="72"/>
      <c r="I310" s="72"/>
      <c r="J310" s="72"/>
    </row>
    <row r="311" spans="1:10">
      <c r="A311" s="72"/>
      <c r="B311" s="72"/>
      <c r="C311" s="72"/>
      <c r="D311" s="72"/>
      <c r="E311" s="72"/>
      <c r="F311" s="72"/>
      <c r="G311" s="72"/>
      <c r="H311" s="72"/>
      <c r="I311" s="72"/>
      <c r="J311" s="72"/>
    </row>
    <row r="312" spans="1:10">
      <c r="A312" s="72"/>
      <c r="B312" s="72"/>
      <c r="C312" s="72"/>
      <c r="D312" s="72"/>
      <c r="E312" s="72"/>
      <c r="F312" s="72"/>
      <c r="G312" s="72"/>
      <c r="H312" s="72"/>
      <c r="I312" s="72"/>
      <c r="J312" s="72"/>
    </row>
    <row r="313" spans="1:10">
      <c r="A313" s="72"/>
      <c r="B313" s="72"/>
      <c r="C313" s="72"/>
      <c r="D313" s="72"/>
      <c r="E313" s="72"/>
      <c r="F313" s="72"/>
      <c r="G313" s="72"/>
      <c r="H313" s="72"/>
      <c r="I313" s="72"/>
      <c r="J313" s="72"/>
    </row>
    <row r="314" spans="1:10">
      <c r="A314" s="72"/>
      <c r="B314" s="72"/>
      <c r="C314" s="72"/>
      <c r="D314" s="72"/>
      <c r="E314" s="72"/>
      <c r="F314" s="72"/>
      <c r="G314" s="72"/>
      <c r="H314" s="72"/>
      <c r="I314" s="72"/>
      <c r="J314" s="72"/>
    </row>
    <row r="315" spans="1:10">
      <c r="A315" s="72"/>
      <c r="B315" s="72"/>
      <c r="C315" s="72"/>
      <c r="D315" s="72"/>
      <c r="E315" s="72"/>
      <c r="F315" s="72"/>
      <c r="G315" s="72"/>
      <c r="H315" s="72"/>
      <c r="I315" s="72"/>
      <c r="J315" s="72"/>
    </row>
    <row r="316" spans="1:10">
      <c r="A316" s="72"/>
      <c r="B316" s="72"/>
      <c r="C316" s="72"/>
      <c r="D316" s="72"/>
      <c r="E316" s="72"/>
      <c r="F316" s="72"/>
      <c r="G316" s="72"/>
      <c r="H316" s="72"/>
      <c r="I316" s="72"/>
      <c r="J316" s="72"/>
    </row>
    <row r="317" spans="1:10">
      <c r="A317" s="72"/>
      <c r="B317" s="72"/>
      <c r="C317" s="72"/>
      <c r="D317" s="72"/>
      <c r="E317" s="72"/>
      <c r="F317" s="72"/>
      <c r="G317" s="72"/>
      <c r="H317" s="72"/>
      <c r="I317" s="72"/>
      <c r="J317" s="72"/>
    </row>
    <row r="318" spans="1:10">
      <c r="A318" s="72"/>
      <c r="B318" s="72"/>
      <c r="C318" s="72"/>
      <c r="D318" s="72"/>
      <c r="E318" s="72"/>
      <c r="F318" s="72"/>
      <c r="G318" s="72"/>
      <c r="H318" s="72"/>
      <c r="I318" s="72"/>
      <c r="J318" s="72"/>
    </row>
    <row r="319" spans="1:10">
      <c r="A319" s="72"/>
      <c r="B319" s="72"/>
      <c r="C319" s="72"/>
      <c r="D319" s="72"/>
      <c r="E319" s="72"/>
      <c r="F319" s="72"/>
      <c r="G319" s="72"/>
      <c r="H319" s="72"/>
      <c r="I319" s="72"/>
      <c r="J319" s="72"/>
    </row>
    <row r="320" spans="1:10">
      <c r="A320" s="72"/>
      <c r="B320" s="72"/>
      <c r="C320" s="72"/>
      <c r="D320" s="72"/>
      <c r="E320" s="72"/>
      <c r="F320" s="72"/>
      <c r="G320" s="72"/>
      <c r="H320" s="72"/>
      <c r="I320" s="72"/>
      <c r="J320" s="72"/>
    </row>
    <row r="321" spans="1:10">
      <c r="A321" s="72"/>
      <c r="B321" s="72"/>
      <c r="C321" s="72"/>
      <c r="D321" s="72"/>
      <c r="E321" s="72"/>
      <c r="F321" s="72"/>
      <c r="G321" s="72"/>
      <c r="H321" s="72"/>
      <c r="I321" s="72"/>
      <c r="J321" s="72"/>
    </row>
    <row r="322" spans="1:10">
      <c r="A322" s="72"/>
      <c r="B322" s="72"/>
      <c r="C322" s="72"/>
      <c r="D322" s="72"/>
      <c r="E322" s="72"/>
      <c r="F322" s="72"/>
      <c r="G322" s="72"/>
      <c r="H322" s="72"/>
      <c r="I322" s="72"/>
      <c r="J322" s="72"/>
    </row>
    <row r="323" spans="1:10">
      <c r="A323" s="72"/>
      <c r="B323" s="72"/>
      <c r="C323" s="72"/>
      <c r="D323" s="72"/>
      <c r="E323" s="72"/>
      <c r="F323" s="72"/>
      <c r="G323" s="72"/>
      <c r="H323" s="72"/>
      <c r="I323" s="72"/>
      <c r="J323" s="72"/>
    </row>
    <row r="324" spans="1:10">
      <c r="A324" s="72"/>
      <c r="B324" s="72"/>
      <c r="C324" s="72"/>
      <c r="D324" s="72"/>
      <c r="E324" s="72"/>
      <c r="F324" s="72"/>
      <c r="G324" s="72"/>
      <c r="H324" s="72"/>
      <c r="I324" s="72"/>
      <c r="J324" s="72"/>
    </row>
    <row r="325" spans="1:10">
      <c r="A325" s="72"/>
      <c r="B325" s="72"/>
      <c r="C325" s="72"/>
      <c r="D325" s="72"/>
      <c r="E325" s="72"/>
      <c r="F325" s="72"/>
      <c r="G325" s="72"/>
      <c r="H325" s="72"/>
      <c r="I325" s="72"/>
      <c r="J325" s="72"/>
    </row>
    <row r="326" spans="1:10">
      <c r="A326" s="72"/>
      <c r="B326" s="72"/>
      <c r="C326" s="72"/>
      <c r="D326" s="72"/>
      <c r="E326" s="72"/>
      <c r="F326" s="72"/>
      <c r="G326" s="72"/>
      <c r="H326" s="72"/>
      <c r="I326" s="72"/>
      <c r="J326" s="72"/>
    </row>
    <row r="327" spans="1:10">
      <c r="A327" s="72"/>
      <c r="B327" s="72"/>
      <c r="C327" s="72"/>
      <c r="D327" s="72"/>
      <c r="E327" s="72"/>
      <c r="F327" s="72"/>
      <c r="G327" s="72"/>
      <c r="H327" s="72"/>
      <c r="I327" s="72"/>
      <c r="J327" s="72"/>
    </row>
    <row r="328" spans="1:10">
      <c r="A328" s="72"/>
      <c r="B328" s="72"/>
      <c r="C328" s="72"/>
      <c r="D328" s="72"/>
      <c r="E328" s="72"/>
      <c r="F328" s="72"/>
      <c r="G328" s="72"/>
      <c r="H328" s="72"/>
      <c r="I328" s="72"/>
      <c r="J328" s="72"/>
    </row>
    <row r="329" spans="1:10">
      <c r="A329" s="72"/>
      <c r="B329" s="72"/>
      <c r="C329" s="72"/>
      <c r="D329" s="72"/>
      <c r="E329" s="72"/>
      <c r="F329" s="72"/>
      <c r="G329" s="72"/>
      <c r="H329" s="72"/>
      <c r="I329" s="72"/>
      <c r="J329" s="72"/>
    </row>
    <row r="330" spans="1:10">
      <c r="A330" s="72"/>
      <c r="B330" s="72"/>
      <c r="C330" s="72"/>
      <c r="D330" s="72"/>
      <c r="E330" s="72"/>
      <c r="F330" s="72"/>
      <c r="G330" s="72"/>
      <c r="H330" s="72"/>
      <c r="I330" s="72"/>
      <c r="J330" s="72"/>
    </row>
    <row r="331" spans="1:10">
      <c r="A331" s="72"/>
      <c r="B331" s="72"/>
      <c r="C331" s="72"/>
      <c r="D331" s="72"/>
      <c r="E331" s="72"/>
      <c r="F331" s="72"/>
      <c r="G331" s="72"/>
      <c r="H331" s="72"/>
      <c r="I331" s="72"/>
      <c r="J331" s="72"/>
    </row>
    <row r="332" spans="1:10">
      <c r="A332" s="72"/>
      <c r="B332" s="72"/>
      <c r="C332" s="72"/>
      <c r="D332" s="72"/>
      <c r="E332" s="72"/>
      <c r="F332" s="72"/>
      <c r="G332" s="72"/>
      <c r="H332" s="72"/>
      <c r="I332" s="72"/>
      <c r="J332" s="72"/>
    </row>
    <row r="333" spans="1:10">
      <c r="A333" s="72"/>
      <c r="B333" s="72"/>
      <c r="C333" s="72"/>
      <c r="D333" s="72"/>
      <c r="E333" s="72"/>
      <c r="F333" s="72"/>
      <c r="G333" s="72"/>
      <c r="H333" s="72"/>
      <c r="I333" s="72"/>
      <c r="J333" s="72"/>
    </row>
    <row r="334" spans="1:10">
      <c r="A334" s="72"/>
      <c r="B334" s="72"/>
      <c r="C334" s="72"/>
      <c r="D334" s="72"/>
      <c r="E334" s="72"/>
      <c r="F334" s="72"/>
      <c r="G334" s="72"/>
      <c r="H334" s="72"/>
      <c r="I334" s="72"/>
      <c r="J334" s="72"/>
    </row>
    <row r="335" spans="1:10">
      <c r="A335" s="72"/>
      <c r="B335" s="72"/>
      <c r="C335" s="72"/>
      <c r="D335" s="72"/>
      <c r="E335" s="72"/>
      <c r="F335" s="72"/>
      <c r="G335" s="72"/>
      <c r="H335" s="72"/>
      <c r="I335" s="72"/>
      <c r="J335" s="72"/>
    </row>
    <row r="336" spans="1:10">
      <c r="A336" s="72"/>
      <c r="B336" s="72"/>
      <c r="C336" s="72"/>
      <c r="D336" s="72"/>
      <c r="E336" s="72"/>
      <c r="F336" s="72"/>
      <c r="G336" s="72"/>
      <c r="H336" s="72"/>
      <c r="I336" s="72"/>
      <c r="J336" s="72"/>
    </row>
    <row r="337" spans="1:10">
      <c r="A337" s="72"/>
      <c r="B337" s="72"/>
      <c r="C337" s="72"/>
      <c r="D337" s="72"/>
      <c r="E337" s="72"/>
      <c r="F337" s="72"/>
      <c r="G337" s="72"/>
      <c r="H337" s="72"/>
      <c r="I337" s="72"/>
      <c r="J337" s="72"/>
    </row>
    <row r="338" spans="1:10">
      <c r="A338" s="72"/>
      <c r="B338" s="72"/>
      <c r="C338" s="72"/>
      <c r="D338" s="72"/>
      <c r="E338" s="72"/>
      <c r="F338" s="72"/>
      <c r="G338" s="72"/>
      <c r="H338" s="72"/>
      <c r="I338" s="72"/>
      <c r="J338" s="72"/>
    </row>
    <row r="339" spans="1:10">
      <c r="A339" s="72"/>
      <c r="B339" s="72"/>
      <c r="C339" s="72"/>
      <c r="D339" s="72"/>
      <c r="E339" s="72"/>
      <c r="F339" s="72"/>
      <c r="G339" s="72"/>
      <c r="H339" s="72"/>
      <c r="I339" s="72"/>
      <c r="J339" s="72"/>
    </row>
    <row r="340" spans="1:10">
      <c r="A340" s="72"/>
      <c r="B340" s="72"/>
      <c r="C340" s="72"/>
      <c r="D340" s="72"/>
      <c r="E340" s="72"/>
      <c r="F340" s="72"/>
      <c r="G340" s="72"/>
      <c r="H340" s="72"/>
      <c r="I340" s="72"/>
      <c r="J340" s="72"/>
    </row>
    <row r="341" spans="1:10">
      <c r="A341" s="72"/>
      <c r="B341" s="72"/>
      <c r="C341" s="72"/>
      <c r="D341" s="72"/>
      <c r="E341" s="72"/>
      <c r="F341" s="72"/>
      <c r="G341" s="72"/>
      <c r="H341" s="72"/>
      <c r="I341" s="72"/>
      <c r="J341" s="72"/>
    </row>
    <row r="342" spans="1:10">
      <c r="A342" s="72"/>
      <c r="B342" s="72"/>
      <c r="C342" s="72"/>
      <c r="D342" s="72"/>
      <c r="E342" s="72"/>
      <c r="F342" s="72"/>
      <c r="G342" s="72"/>
      <c r="H342" s="72"/>
      <c r="I342" s="72"/>
      <c r="J342" s="72"/>
    </row>
    <row r="343" spans="1:10">
      <c r="A343" s="72"/>
      <c r="B343" s="72"/>
      <c r="C343" s="72"/>
      <c r="D343" s="72"/>
      <c r="E343" s="72"/>
      <c r="F343" s="72"/>
      <c r="G343" s="72"/>
      <c r="H343" s="72"/>
      <c r="I343" s="72"/>
      <c r="J343" s="72"/>
    </row>
    <row r="344" spans="1:10">
      <c r="A344" s="72"/>
      <c r="B344" s="72"/>
      <c r="C344" s="72"/>
      <c r="D344" s="72"/>
      <c r="E344" s="72"/>
      <c r="F344" s="72"/>
      <c r="G344" s="72"/>
      <c r="H344" s="72"/>
      <c r="I344" s="72"/>
      <c r="J344" s="72"/>
    </row>
    <row r="345" spans="1:10">
      <c r="A345" s="72"/>
      <c r="B345" s="72"/>
      <c r="C345" s="72"/>
      <c r="D345" s="72"/>
      <c r="E345" s="72"/>
      <c r="F345" s="72"/>
      <c r="G345" s="72"/>
      <c r="H345" s="72"/>
      <c r="I345" s="72"/>
      <c r="J345" s="72"/>
    </row>
    <row r="346" spans="1:10">
      <c r="A346" s="72"/>
      <c r="B346" s="72"/>
      <c r="C346" s="72"/>
      <c r="D346" s="72"/>
      <c r="E346" s="72"/>
      <c r="F346" s="72"/>
      <c r="G346" s="72"/>
      <c r="H346" s="72"/>
      <c r="I346" s="72"/>
      <c r="J346" s="72"/>
    </row>
    <row r="347" spans="1:10">
      <c r="A347" s="72"/>
      <c r="B347" s="72"/>
      <c r="C347" s="72"/>
      <c r="D347" s="72"/>
      <c r="E347" s="72"/>
      <c r="F347" s="72"/>
      <c r="G347" s="72"/>
      <c r="H347" s="72"/>
      <c r="I347" s="72"/>
      <c r="J347" s="72"/>
    </row>
    <row r="348" spans="1:10">
      <c r="A348" s="72"/>
      <c r="B348" s="72"/>
      <c r="C348" s="72"/>
      <c r="D348" s="72"/>
      <c r="E348" s="72"/>
      <c r="F348" s="72"/>
      <c r="G348" s="72"/>
      <c r="H348" s="72"/>
      <c r="I348" s="72"/>
      <c r="J348" s="72"/>
    </row>
    <row r="349" spans="1:10">
      <c r="A349" s="72"/>
      <c r="B349" s="72"/>
      <c r="C349" s="72"/>
      <c r="D349" s="72"/>
      <c r="E349" s="72"/>
      <c r="F349" s="72"/>
      <c r="G349" s="72"/>
      <c r="H349" s="72"/>
      <c r="I349" s="72"/>
      <c r="J349" s="72"/>
    </row>
    <row r="350" spans="1:10">
      <c r="A350" s="72"/>
      <c r="B350" s="72"/>
      <c r="C350" s="72"/>
      <c r="D350" s="72"/>
      <c r="E350" s="72"/>
      <c r="F350" s="72"/>
      <c r="G350" s="72"/>
      <c r="H350" s="72"/>
      <c r="I350" s="72"/>
      <c r="J350" s="72"/>
    </row>
    <row r="351" spans="1:10">
      <c r="A351" s="72"/>
      <c r="B351" s="72"/>
      <c r="C351" s="72"/>
      <c r="D351" s="72"/>
      <c r="E351" s="72"/>
      <c r="F351" s="72"/>
      <c r="G351" s="72"/>
      <c r="H351" s="72"/>
      <c r="I351" s="72"/>
      <c r="J351" s="72"/>
    </row>
    <row r="352" spans="1:10">
      <c r="A352" s="72"/>
      <c r="B352" s="72"/>
      <c r="C352" s="72"/>
      <c r="D352" s="72"/>
      <c r="E352" s="72"/>
      <c r="F352" s="72"/>
      <c r="G352" s="72"/>
      <c r="H352" s="72"/>
      <c r="I352" s="72"/>
      <c r="J352" s="72"/>
    </row>
    <row r="353" spans="1:10">
      <c r="A353" s="72"/>
      <c r="B353" s="72"/>
      <c r="C353" s="72"/>
      <c r="D353" s="72"/>
      <c r="E353" s="72"/>
      <c r="F353" s="72"/>
      <c r="G353" s="72"/>
      <c r="H353" s="72"/>
      <c r="I353" s="72"/>
      <c r="J353" s="72"/>
    </row>
    <row r="354" spans="1:10">
      <c r="A354" s="72"/>
      <c r="B354" s="72"/>
      <c r="C354" s="72"/>
      <c r="D354" s="72"/>
      <c r="E354" s="72"/>
      <c r="F354" s="72"/>
      <c r="G354" s="72"/>
      <c r="H354" s="72"/>
      <c r="I354" s="72"/>
      <c r="J354" s="72"/>
    </row>
    <row r="355" spans="1:10">
      <c r="A355" s="72"/>
      <c r="B355" s="72"/>
      <c r="C355" s="72"/>
      <c r="D355" s="72"/>
      <c r="E355" s="72"/>
      <c r="F355" s="72"/>
      <c r="G355" s="72"/>
      <c r="H355" s="72"/>
      <c r="I355" s="72"/>
      <c r="J355" s="72"/>
    </row>
    <row r="356" spans="1:10">
      <c r="A356" s="72"/>
      <c r="B356" s="72"/>
      <c r="C356" s="72"/>
      <c r="D356" s="72"/>
      <c r="E356" s="72"/>
      <c r="F356" s="72"/>
      <c r="G356" s="72"/>
      <c r="H356" s="72"/>
      <c r="I356" s="72"/>
      <c r="J356" s="72"/>
    </row>
    <row r="357" spans="1:10">
      <c r="A357" s="72"/>
      <c r="B357" s="72"/>
      <c r="C357" s="72"/>
      <c r="D357" s="72"/>
      <c r="E357" s="72"/>
      <c r="F357" s="72"/>
      <c r="G357" s="72"/>
      <c r="H357" s="72"/>
      <c r="I357" s="72"/>
      <c r="J357" s="72"/>
    </row>
    <row r="358" spans="1:10">
      <c r="A358" s="72"/>
      <c r="B358" s="72"/>
      <c r="C358" s="72"/>
      <c r="D358" s="72"/>
      <c r="E358" s="72"/>
      <c r="F358" s="72"/>
      <c r="G358" s="72"/>
      <c r="H358" s="72"/>
      <c r="I358" s="72"/>
      <c r="J358" s="72"/>
    </row>
    <row r="359" spans="1:10">
      <c r="A359" s="72"/>
      <c r="B359" s="72"/>
      <c r="C359" s="72"/>
      <c r="D359" s="72"/>
      <c r="E359" s="72"/>
      <c r="F359" s="72"/>
      <c r="G359" s="72"/>
      <c r="H359" s="72"/>
      <c r="I359" s="72"/>
      <c r="J359" s="72"/>
    </row>
    <row r="360" spans="1:10">
      <c r="A360" s="72"/>
      <c r="B360" s="72"/>
      <c r="C360" s="72"/>
      <c r="D360" s="72"/>
      <c r="E360" s="72"/>
      <c r="F360" s="72"/>
      <c r="G360" s="72"/>
      <c r="H360" s="72"/>
      <c r="I360" s="72"/>
      <c r="J360" s="72"/>
    </row>
    <row r="361" spans="1:10">
      <c r="A361" s="72"/>
      <c r="B361" s="72"/>
      <c r="C361" s="72"/>
      <c r="D361" s="72"/>
      <c r="E361" s="72"/>
      <c r="F361" s="72"/>
      <c r="G361" s="72"/>
      <c r="H361" s="72"/>
      <c r="I361" s="72"/>
      <c r="J361" s="72"/>
    </row>
    <row r="362" spans="1:10">
      <c r="A362" s="72"/>
      <c r="B362" s="72"/>
      <c r="C362" s="72"/>
      <c r="D362" s="72"/>
      <c r="E362" s="72"/>
      <c r="F362" s="72"/>
      <c r="G362" s="72"/>
      <c r="H362" s="72"/>
      <c r="I362" s="72"/>
      <c r="J362" s="72"/>
    </row>
    <row r="363" spans="1:10">
      <c r="A363" s="72"/>
      <c r="B363" s="72"/>
      <c r="C363" s="72"/>
      <c r="D363" s="72"/>
      <c r="E363" s="72"/>
      <c r="F363" s="72"/>
      <c r="G363" s="72"/>
      <c r="H363" s="72"/>
      <c r="I363" s="72"/>
      <c r="J363" s="72"/>
    </row>
    <row r="364" spans="1:10">
      <c r="A364" s="72"/>
      <c r="B364" s="72"/>
      <c r="C364" s="72"/>
      <c r="D364" s="72"/>
      <c r="E364" s="72"/>
      <c r="F364" s="72"/>
      <c r="G364" s="72"/>
      <c r="H364" s="72"/>
      <c r="I364" s="72"/>
      <c r="J364" s="72"/>
    </row>
    <row r="365" spans="1:10">
      <c r="A365" s="72"/>
      <c r="B365" s="72"/>
      <c r="C365" s="72"/>
      <c r="D365" s="72"/>
      <c r="E365" s="72"/>
      <c r="F365" s="72"/>
      <c r="G365" s="72"/>
      <c r="H365" s="72"/>
      <c r="I365" s="72"/>
      <c r="J365" s="72"/>
    </row>
    <row r="366" spans="1:10">
      <c r="A366" s="72"/>
      <c r="B366" s="72"/>
      <c r="C366" s="72"/>
      <c r="D366" s="72"/>
      <c r="E366" s="72"/>
      <c r="F366" s="72"/>
      <c r="G366" s="72"/>
      <c r="H366" s="72"/>
      <c r="I366" s="72"/>
      <c r="J366" s="72"/>
    </row>
    <row r="367" spans="1:10">
      <c r="A367" s="72"/>
      <c r="B367" s="72"/>
      <c r="C367" s="72"/>
      <c r="D367" s="72"/>
      <c r="E367" s="72"/>
      <c r="F367" s="72"/>
      <c r="G367" s="72"/>
      <c r="H367" s="72"/>
      <c r="I367" s="72"/>
      <c r="J367" s="72"/>
    </row>
    <row r="368" spans="1:10">
      <c r="A368" s="72"/>
      <c r="B368" s="72"/>
      <c r="C368" s="72"/>
      <c r="D368" s="72"/>
      <c r="E368" s="72"/>
      <c r="F368" s="72"/>
      <c r="G368" s="72"/>
      <c r="H368" s="72"/>
      <c r="I368" s="72"/>
      <c r="J368" s="72"/>
    </row>
    <row r="369" spans="1:10">
      <c r="A369" s="72"/>
      <c r="B369" s="72"/>
      <c r="C369" s="72"/>
      <c r="D369" s="72"/>
      <c r="E369" s="72"/>
      <c r="F369" s="72"/>
      <c r="G369" s="72"/>
      <c r="H369" s="72"/>
      <c r="I369" s="72"/>
      <c r="J369" s="72"/>
    </row>
    <row r="370" spans="1:10">
      <c r="A370" s="72"/>
      <c r="B370" s="72"/>
      <c r="C370" s="72"/>
      <c r="D370" s="72"/>
      <c r="E370" s="72"/>
      <c r="F370" s="72"/>
      <c r="G370" s="72"/>
      <c r="H370" s="72"/>
      <c r="I370" s="72"/>
      <c r="J370" s="72"/>
    </row>
    <row r="371" spans="1:10">
      <c r="A371" s="72"/>
      <c r="B371" s="72"/>
      <c r="C371" s="72"/>
      <c r="D371" s="72"/>
      <c r="E371" s="72"/>
      <c r="F371" s="72"/>
      <c r="G371" s="72"/>
      <c r="H371" s="72"/>
      <c r="I371" s="72"/>
      <c r="J371" s="72"/>
    </row>
    <row r="372" spans="1:10">
      <c r="A372" s="72"/>
      <c r="B372" s="72"/>
      <c r="C372" s="72"/>
      <c r="D372" s="72"/>
      <c r="E372" s="72"/>
      <c r="F372" s="72"/>
      <c r="G372" s="72"/>
      <c r="H372" s="72"/>
      <c r="I372" s="72"/>
      <c r="J372" s="72"/>
    </row>
    <row r="373" spans="1:10">
      <c r="A373" s="72"/>
      <c r="B373" s="72"/>
      <c r="C373" s="72"/>
      <c r="D373" s="72"/>
      <c r="E373" s="72"/>
      <c r="F373" s="72"/>
      <c r="G373" s="72"/>
      <c r="H373" s="72"/>
      <c r="I373" s="72"/>
      <c r="J373" s="72"/>
    </row>
    <row r="374" spans="1:10">
      <c r="A374" s="72"/>
      <c r="B374" s="72"/>
      <c r="C374" s="72"/>
      <c r="D374" s="72"/>
      <c r="E374" s="72"/>
      <c r="F374" s="72"/>
      <c r="G374" s="72"/>
      <c r="H374" s="72"/>
      <c r="I374" s="72"/>
      <c r="J374" s="72"/>
    </row>
    <row r="375" spans="1:10">
      <c r="A375" s="72"/>
      <c r="B375" s="72"/>
      <c r="C375" s="72"/>
      <c r="D375" s="72"/>
      <c r="E375" s="72"/>
      <c r="F375" s="72"/>
      <c r="G375" s="72"/>
      <c r="H375" s="72"/>
      <c r="I375" s="72"/>
      <c r="J375" s="72"/>
    </row>
    <row r="376" spans="1:10">
      <c r="A376" s="72"/>
      <c r="B376" s="72"/>
      <c r="C376" s="72"/>
      <c r="D376" s="72"/>
      <c r="E376" s="72"/>
      <c r="F376" s="72"/>
      <c r="G376" s="72"/>
      <c r="H376" s="72"/>
      <c r="I376" s="72"/>
      <c r="J376" s="72"/>
    </row>
    <row r="377" spans="1:10">
      <c r="A377" s="72"/>
      <c r="B377" s="72"/>
      <c r="C377" s="72"/>
      <c r="D377" s="72"/>
      <c r="E377" s="72"/>
      <c r="F377" s="72"/>
      <c r="G377" s="72"/>
      <c r="H377" s="72"/>
      <c r="I377" s="72"/>
      <c r="J377" s="72"/>
    </row>
    <row r="378" spans="1:10">
      <c r="A378" s="72"/>
      <c r="B378" s="72"/>
      <c r="C378" s="72"/>
      <c r="D378" s="72"/>
      <c r="E378" s="72"/>
      <c r="F378" s="72"/>
      <c r="G378" s="72"/>
      <c r="H378" s="72"/>
      <c r="I378" s="72"/>
      <c r="J378" s="72"/>
    </row>
    <row r="379" spans="1:10">
      <c r="A379" s="72"/>
      <c r="B379" s="72"/>
      <c r="C379" s="72"/>
      <c r="D379" s="72"/>
      <c r="E379" s="72"/>
      <c r="F379" s="72"/>
      <c r="G379" s="72"/>
      <c r="H379" s="72"/>
      <c r="I379" s="72"/>
      <c r="J379" s="72"/>
    </row>
    <row r="380" spans="1:10">
      <c r="A380" s="72"/>
      <c r="B380" s="72"/>
      <c r="C380" s="72"/>
      <c r="D380" s="72"/>
      <c r="E380" s="72"/>
      <c r="F380" s="72"/>
      <c r="G380" s="72"/>
      <c r="H380" s="72"/>
      <c r="I380" s="72"/>
      <c r="J380" s="72"/>
    </row>
    <row r="381" spans="1:10">
      <c r="A381" s="72"/>
      <c r="B381" s="72"/>
      <c r="C381" s="72"/>
      <c r="D381" s="72"/>
      <c r="E381" s="72"/>
      <c r="F381" s="72"/>
      <c r="G381" s="72"/>
      <c r="H381" s="72"/>
      <c r="I381" s="72"/>
      <c r="J381" s="72"/>
    </row>
    <row r="382" spans="1:10">
      <c r="A382" s="72"/>
      <c r="B382" s="72"/>
      <c r="C382" s="72"/>
      <c r="D382" s="72"/>
      <c r="E382" s="72"/>
      <c r="F382" s="72"/>
      <c r="G382" s="72"/>
      <c r="H382" s="72"/>
      <c r="I382" s="72"/>
      <c r="J382" s="72"/>
    </row>
    <row r="383" spans="1:10">
      <c r="A383" s="72"/>
      <c r="B383" s="72"/>
      <c r="C383" s="72"/>
      <c r="D383" s="72"/>
      <c r="E383" s="72"/>
      <c r="F383" s="72"/>
      <c r="G383" s="72"/>
      <c r="H383" s="72"/>
      <c r="I383" s="72"/>
      <c r="J383" s="72"/>
    </row>
    <row r="384" spans="1:10">
      <c r="A384" s="72"/>
      <c r="B384" s="72"/>
      <c r="C384" s="72"/>
      <c r="D384" s="72"/>
      <c r="E384" s="72"/>
      <c r="F384" s="72"/>
      <c r="G384" s="72"/>
      <c r="H384" s="72"/>
      <c r="I384" s="72"/>
      <c r="J384" s="72"/>
    </row>
    <row r="385" spans="1:10">
      <c r="A385" s="72"/>
      <c r="B385" s="72"/>
      <c r="C385" s="72"/>
      <c r="D385" s="72"/>
      <c r="E385" s="72"/>
      <c r="F385" s="72"/>
      <c r="G385" s="72"/>
      <c r="H385" s="72"/>
      <c r="I385" s="72"/>
      <c r="J385" s="72"/>
    </row>
    <row r="386" spans="1:10">
      <c r="A386" s="72"/>
      <c r="B386" s="72"/>
      <c r="C386" s="72"/>
      <c r="D386" s="72"/>
      <c r="E386" s="72"/>
      <c r="F386" s="72"/>
      <c r="G386" s="72"/>
      <c r="H386" s="72"/>
      <c r="I386" s="72"/>
      <c r="J386" s="72"/>
    </row>
    <row r="387" spans="1:10">
      <c r="A387" s="72"/>
      <c r="B387" s="72"/>
      <c r="C387" s="72"/>
      <c r="D387" s="72"/>
      <c r="E387" s="72"/>
      <c r="F387" s="72"/>
      <c r="G387" s="72"/>
      <c r="H387" s="72"/>
      <c r="I387" s="72"/>
      <c r="J387" s="72"/>
    </row>
    <row r="388" spans="1:10">
      <c r="A388" s="72"/>
      <c r="B388" s="72"/>
      <c r="C388" s="72"/>
      <c r="D388" s="72"/>
      <c r="E388" s="72"/>
      <c r="F388" s="72"/>
      <c r="G388" s="72"/>
      <c r="H388" s="72"/>
      <c r="I388" s="72"/>
      <c r="J388" s="72"/>
    </row>
    <row r="389" spans="1:10">
      <c r="A389" s="72"/>
      <c r="B389" s="72"/>
      <c r="C389" s="72"/>
      <c r="D389" s="72"/>
      <c r="E389" s="72"/>
      <c r="F389" s="72"/>
      <c r="G389" s="72"/>
      <c r="H389" s="72"/>
      <c r="I389" s="72"/>
      <c r="J389" s="72"/>
    </row>
    <row r="390" spans="1:10">
      <c r="A390" s="72"/>
      <c r="B390" s="72"/>
      <c r="C390" s="72"/>
      <c r="D390" s="72"/>
      <c r="E390" s="72"/>
      <c r="F390" s="72"/>
      <c r="G390" s="72"/>
      <c r="H390" s="72"/>
      <c r="I390" s="72"/>
      <c r="J390" s="72"/>
    </row>
    <row r="391" spans="1:10">
      <c r="A391" s="72"/>
      <c r="B391" s="72"/>
      <c r="C391" s="72"/>
      <c r="D391" s="72"/>
      <c r="E391" s="72"/>
      <c r="F391" s="72"/>
      <c r="G391" s="72"/>
      <c r="H391" s="72"/>
      <c r="I391" s="72"/>
      <c r="J391" s="72"/>
    </row>
    <row r="392" spans="1:10">
      <c r="A392" s="72"/>
      <c r="B392" s="72"/>
      <c r="C392" s="72"/>
      <c r="D392" s="72"/>
      <c r="E392" s="72"/>
      <c r="F392" s="72"/>
      <c r="G392" s="72"/>
      <c r="H392" s="72"/>
      <c r="I392" s="72"/>
      <c r="J392" s="72"/>
    </row>
    <row r="393" spans="1:10">
      <c r="A393" s="72"/>
      <c r="B393" s="72"/>
      <c r="C393" s="72"/>
      <c r="D393" s="72"/>
      <c r="E393" s="72"/>
      <c r="F393" s="72"/>
      <c r="G393" s="72"/>
      <c r="H393" s="72"/>
      <c r="I393" s="72"/>
      <c r="J393" s="72"/>
    </row>
    <row r="394" spans="1:10">
      <c r="A394" s="72"/>
      <c r="B394" s="72"/>
      <c r="C394" s="72"/>
      <c r="D394" s="72"/>
      <c r="E394" s="72"/>
      <c r="F394" s="72"/>
      <c r="G394" s="72"/>
      <c r="H394" s="72"/>
      <c r="I394" s="72"/>
      <c r="J394" s="72"/>
    </row>
    <row r="395" spans="1:10">
      <c r="A395" s="72"/>
      <c r="B395" s="72"/>
      <c r="C395" s="72"/>
      <c r="D395" s="72"/>
      <c r="E395" s="72"/>
      <c r="F395" s="72"/>
      <c r="G395" s="72"/>
      <c r="H395" s="72"/>
      <c r="I395" s="72"/>
      <c r="J395" s="72"/>
    </row>
    <row r="396" spans="1:10">
      <c r="A396" s="72"/>
      <c r="B396" s="72"/>
      <c r="C396" s="72"/>
      <c r="D396" s="72"/>
      <c r="E396" s="72"/>
      <c r="F396" s="72"/>
      <c r="G396" s="72"/>
      <c r="H396" s="72"/>
      <c r="I396" s="72"/>
      <c r="J396" s="72"/>
    </row>
    <row r="397" spans="1:10">
      <c r="A397" s="72"/>
      <c r="B397" s="72"/>
      <c r="C397" s="72"/>
      <c r="D397" s="72"/>
      <c r="E397" s="72"/>
      <c r="F397" s="72"/>
      <c r="G397" s="72"/>
      <c r="H397" s="72"/>
      <c r="I397" s="72"/>
      <c r="J397" s="72"/>
    </row>
    <row r="398" spans="1:10">
      <c r="A398" s="72"/>
      <c r="B398" s="72"/>
      <c r="C398" s="72"/>
      <c r="D398" s="72"/>
      <c r="E398" s="72"/>
      <c r="F398" s="72"/>
      <c r="G398" s="72"/>
      <c r="H398" s="72"/>
      <c r="I398" s="72"/>
      <c r="J398" s="72"/>
    </row>
    <row r="399" spans="1:10">
      <c r="A399" s="72"/>
      <c r="B399" s="72"/>
      <c r="C399" s="72"/>
      <c r="D399" s="72"/>
      <c r="E399" s="72"/>
      <c r="F399" s="72"/>
      <c r="G399" s="72"/>
      <c r="H399" s="72"/>
      <c r="I399" s="72"/>
      <c r="J399" s="72"/>
    </row>
    <row r="400" spans="1:10">
      <c r="A400" s="72"/>
      <c r="B400" s="72"/>
      <c r="C400" s="72"/>
      <c r="D400" s="72"/>
      <c r="E400" s="72"/>
      <c r="F400" s="72"/>
      <c r="G400" s="72"/>
      <c r="H400" s="72"/>
      <c r="I400" s="72"/>
      <c r="J400" s="72"/>
    </row>
    <row r="401" spans="1:10">
      <c r="A401" s="72"/>
      <c r="B401" s="72"/>
      <c r="C401" s="72"/>
      <c r="D401" s="72"/>
      <c r="E401" s="72"/>
      <c r="F401" s="72"/>
      <c r="G401" s="72"/>
      <c r="H401" s="72"/>
      <c r="I401" s="72"/>
      <c r="J401" s="72"/>
    </row>
    <row r="402" spans="1:10">
      <c r="A402" s="72"/>
      <c r="B402" s="72"/>
      <c r="C402" s="72"/>
      <c r="D402" s="72"/>
      <c r="E402" s="72"/>
      <c r="F402" s="72"/>
      <c r="G402" s="72"/>
      <c r="H402" s="72"/>
      <c r="I402" s="72"/>
      <c r="J402" s="72"/>
    </row>
    <row r="403" spans="1:10">
      <c r="A403" s="72"/>
      <c r="B403" s="72"/>
      <c r="C403" s="72"/>
      <c r="D403" s="72"/>
      <c r="E403" s="72"/>
      <c r="F403" s="72"/>
      <c r="G403" s="72"/>
      <c r="H403" s="72"/>
      <c r="I403" s="72"/>
      <c r="J403" s="72"/>
    </row>
    <row r="404" spans="1:10">
      <c r="A404" s="72"/>
      <c r="B404" s="72"/>
      <c r="C404" s="72"/>
      <c r="D404" s="72"/>
      <c r="E404" s="72"/>
      <c r="F404" s="72"/>
      <c r="G404" s="72"/>
      <c r="H404" s="72"/>
      <c r="I404" s="72"/>
      <c r="J404" s="72"/>
    </row>
    <row r="405" spans="1:10">
      <c r="A405" s="72"/>
      <c r="B405" s="72"/>
      <c r="C405" s="72"/>
      <c r="D405" s="72"/>
      <c r="E405" s="72"/>
      <c r="F405" s="72"/>
      <c r="G405" s="72"/>
      <c r="H405" s="72"/>
      <c r="I405" s="72"/>
      <c r="J405" s="72"/>
    </row>
    <row r="406" spans="1:10">
      <c r="A406" s="72"/>
      <c r="B406" s="72"/>
      <c r="C406" s="72"/>
      <c r="D406" s="72"/>
      <c r="E406" s="72"/>
      <c r="F406" s="72"/>
      <c r="G406" s="72"/>
      <c r="H406" s="72"/>
      <c r="I406" s="72"/>
      <c r="J406" s="72"/>
    </row>
    <row r="407" spans="1:10">
      <c r="A407" s="72"/>
      <c r="B407" s="72"/>
      <c r="C407" s="72"/>
      <c r="D407" s="72"/>
      <c r="E407" s="72"/>
      <c r="F407" s="72"/>
      <c r="G407" s="72"/>
      <c r="H407" s="72"/>
      <c r="I407" s="72"/>
      <c r="J407" s="72"/>
    </row>
    <row r="408" spans="1:10">
      <c r="A408" s="72"/>
      <c r="B408" s="72"/>
      <c r="C408" s="72"/>
      <c r="D408" s="72"/>
      <c r="E408" s="72"/>
      <c r="F408" s="72"/>
      <c r="G408" s="72"/>
      <c r="H408" s="72"/>
      <c r="I408" s="72"/>
      <c r="J408" s="72"/>
    </row>
    <row r="409" spans="1:10">
      <c r="A409" s="72"/>
      <c r="B409" s="72"/>
      <c r="C409" s="72"/>
      <c r="D409" s="72"/>
      <c r="E409" s="72"/>
      <c r="F409" s="72"/>
      <c r="G409" s="72"/>
      <c r="H409" s="72"/>
      <c r="I409" s="72"/>
      <c r="J409" s="72"/>
    </row>
    <row r="410" spans="1:10">
      <c r="A410" s="72"/>
      <c r="B410" s="72"/>
      <c r="C410" s="72"/>
      <c r="D410" s="72"/>
      <c r="E410" s="72"/>
      <c r="F410" s="72"/>
      <c r="G410" s="72"/>
      <c r="H410" s="72"/>
      <c r="I410" s="72"/>
      <c r="J410" s="72"/>
    </row>
    <row r="411" spans="1:10">
      <c r="A411" s="72"/>
      <c r="B411" s="72"/>
      <c r="C411" s="72"/>
      <c r="D411" s="72"/>
      <c r="E411" s="72"/>
      <c r="F411" s="72"/>
      <c r="G411" s="72"/>
      <c r="H411" s="72"/>
      <c r="I411" s="72"/>
      <c r="J411" s="72"/>
    </row>
    <row r="412" spans="1:10">
      <c r="A412" s="72"/>
      <c r="B412" s="72"/>
      <c r="C412" s="72"/>
      <c r="D412" s="72"/>
      <c r="E412" s="72"/>
      <c r="F412" s="72"/>
      <c r="G412" s="72"/>
      <c r="H412" s="72"/>
      <c r="I412" s="72"/>
      <c r="J412" s="72"/>
    </row>
    <row r="413" spans="1:10">
      <c r="A413" s="72"/>
      <c r="B413" s="72"/>
      <c r="C413" s="72"/>
      <c r="D413" s="72"/>
      <c r="E413" s="72"/>
      <c r="F413" s="72"/>
      <c r="G413" s="72"/>
      <c r="H413" s="72"/>
      <c r="I413" s="72"/>
      <c r="J413" s="72"/>
    </row>
    <row r="414" spans="1:10">
      <c r="A414" s="72"/>
      <c r="B414" s="72"/>
      <c r="C414" s="72"/>
      <c r="D414" s="72"/>
      <c r="E414" s="72"/>
      <c r="F414" s="72"/>
      <c r="G414" s="72"/>
      <c r="H414" s="72"/>
      <c r="I414" s="72"/>
      <c r="J414" s="72"/>
    </row>
    <row r="415" spans="1:10">
      <c r="A415" s="72"/>
      <c r="B415" s="72"/>
      <c r="C415" s="72"/>
      <c r="D415" s="72"/>
      <c r="E415" s="72"/>
      <c r="F415" s="72"/>
      <c r="G415" s="72"/>
      <c r="H415" s="72"/>
      <c r="I415" s="72"/>
      <c r="J415" s="72"/>
    </row>
    <row r="416" spans="1:10">
      <c r="A416" s="72"/>
      <c r="B416" s="72"/>
      <c r="C416" s="72"/>
      <c r="D416" s="72"/>
      <c r="E416" s="72"/>
      <c r="F416" s="72"/>
      <c r="G416" s="72"/>
      <c r="H416" s="72"/>
      <c r="I416" s="72"/>
      <c r="J416" s="72"/>
    </row>
    <row r="417" spans="1:10">
      <c r="A417" s="72"/>
      <c r="B417" s="72"/>
      <c r="C417" s="72"/>
      <c r="D417" s="72"/>
      <c r="E417" s="72"/>
      <c r="F417" s="72"/>
      <c r="G417" s="72"/>
      <c r="H417" s="72"/>
      <c r="I417" s="72"/>
      <c r="J417" s="72"/>
    </row>
    <row r="418" spans="1:10">
      <c r="A418" s="72"/>
      <c r="B418" s="72"/>
      <c r="C418" s="72"/>
      <c r="D418" s="72"/>
      <c r="E418" s="72"/>
      <c r="F418" s="72"/>
      <c r="G418" s="72"/>
      <c r="H418" s="72"/>
      <c r="I418" s="72"/>
      <c r="J418" s="72"/>
    </row>
    <row r="419" spans="1:10">
      <c r="A419" s="72"/>
      <c r="B419" s="72"/>
      <c r="C419" s="72"/>
      <c r="D419" s="72"/>
      <c r="E419" s="72"/>
      <c r="F419" s="72"/>
      <c r="G419" s="72"/>
      <c r="H419" s="72"/>
      <c r="I419" s="72"/>
      <c r="J419" s="72"/>
    </row>
    <row r="420" spans="1:10">
      <c r="A420" s="72"/>
      <c r="B420" s="72"/>
      <c r="C420" s="72"/>
      <c r="D420" s="72"/>
      <c r="E420" s="72"/>
      <c r="F420" s="72"/>
      <c r="G420" s="72"/>
      <c r="H420" s="72"/>
      <c r="I420" s="72"/>
      <c r="J420" s="72"/>
    </row>
    <row r="421" spans="1:10">
      <c r="A421" s="72"/>
      <c r="B421" s="72"/>
      <c r="C421" s="72"/>
      <c r="D421" s="72"/>
      <c r="E421" s="72"/>
      <c r="F421" s="72"/>
      <c r="G421" s="72"/>
      <c r="H421" s="72"/>
      <c r="I421" s="72"/>
      <c r="J421" s="72"/>
    </row>
    <row r="422" spans="1:10">
      <c r="A422" s="72"/>
      <c r="B422" s="72"/>
      <c r="C422" s="72"/>
      <c r="D422" s="72"/>
      <c r="E422" s="72"/>
      <c r="F422" s="72"/>
      <c r="G422" s="72"/>
      <c r="H422" s="72"/>
      <c r="I422" s="72"/>
      <c r="J422" s="72"/>
    </row>
    <row r="423" spans="1:10">
      <c r="A423" s="72"/>
      <c r="B423" s="72"/>
      <c r="C423" s="72"/>
      <c r="D423" s="72"/>
      <c r="E423" s="72"/>
      <c r="F423" s="72"/>
      <c r="G423" s="72"/>
      <c r="H423" s="72"/>
      <c r="I423" s="72"/>
      <c r="J423" s="72"/>
    </row>
    <row r="424" spans="1:10">
      <c r="A424" s="72"/>
      <c r="B424" s="72"/>
      <c r="C424" s="72"/>
      <c r="D424" s="72"/>
      <c r="E424" s="72"/>
      <c r="F424" s="72"/>
      <c r="G424" s="72"/>
      <c r="H424" s="72"/>
      <c r="I424" s="72"/>
      <c r="J424" s="72"/>
    </row>
    <row r="425" spans="1:10">
      <c r="A425" s="72"/>
      <c r="B425" s="72"/>
      <c r="C425" s="72"/>
      <c r="D425" s="72"/>
      <c r="E425" s="72"/>
      <c r="F425" s="72"/>
      <c r="G425" s="72"/>
      <c r="H425" s="72"/>
      <c r="I425" s="72"/>
      <c r="J425" s="72"/>
    </row>
    <row r="426" spans="1:10">
      <c r="A426" s="72"/>
      <c r="B426" s="72"/>
      <c r="C426" s="72"/>
      <c r="D426" s="72"/>
      <c r="E426" s="72"/>
      <c r="F426" s="72"/>
      <c r="G426" s="72"/>
      <c r="H426" s="72"/>
      <c r="I426" s="72"/>
      <c r="J426" s="72"/>
    </row>
    <row r="427" spans="1:10">
      <c r="A427" s="72"/>
      <c r="B427" s="72"/>
      <c r="C427" s="72"/>
      <c r="D427" s="72"/>
      <c r="E427" s="72"/>
      <c r="F427" s="72"/>
      <c r="G427" s="72"/>
      <c r="H427" s="72"/>
      <c r="I427" s="72"/>
      <c r="J427" s="72"/>
    </row>
    <row r="428" spans="1:10">
      <c r="A428" s="72"/>
      <c r="B428" s="72"/>
      <c r="C428" s="72"/>
      <c r="D428" s="72"/>
      <c r="E428" s="72"/>
      <c r="F428" s="72"/>
      <c r="G428" s="72"/>
      <c r="H428" s="72"/>
      <c r="I428" s="72"/>
      <c r="J428" s="72"/>
    </row>
    <row r="429" spans="1:10">
      <c r="A429" s="72"/>
      <c r="B429" s="72"/>
      <c r="C429" s="72"/>
      <c r="D429" s="72"/>
      <c r="E429" s="72"/>
      <c r="F429" s="72"/>
      <c r="G429" s="72"/>
      <c r="H429" s="72"/>
      <c r="I429" s="72"/>
      <c r="J429" s="72"/>
    </row>
    <row r="430" spans="1:10">
      <c r="A430" s="72"/>
      <c r="B430" s="72"/>
      <c r="C430" s="72"/>
      <c r="D430" s="72"/>
      <c r="E430" s="72"/>
      <c r="F430" s="72"/>
      <c r="G430" s="72"/>
      <c r="H430" s="72"/>
      <c r="I430" s="72"/>
      <c r="J430" s="72"/>
    </row>
    <row r="431" spans="1:10">
      <c r="A431" s="72"/>
      <c r="B431" s="72"/>
      <c r="C431" s="72"/>
      <c r="D431" s="72"/>
      <c r="E431" s="72"/>
      <c r="F431" s="72"/>
      <c r="G431" s="72"/>
      <c r="H431" s="72"/>
      <c r="I431" s="72"/>
      <c r="J431" s="72"/>
    </row>
    <row r="432" spans="1:10">
      <c r="A432" s="72"/>
      <c r="B432" s="72"/>
      <c r="C432" s="72"/>
      <c r="D432" s="72"/>
      <c r="E432" s="72"/>
      <c r="F432" s="72"/>
      <c r="G432" s="72"/>
      <c r="H432" s="72"/>
      <c r="I432" s="72"/>
      <c r="J432" s="72"/>
    </row>
    <row r="433" spans="1:10">
      <c r="A433" s="72"/>
      <c r="B433" s="72"/>
      <c r="C433" s="72"/>
      <c r="D433" s="72"/>
      <c r="E433" s="72"/>
      <c r="F433" s="72"/>
      <c r="G433" s="72"/>
      <c r="H433" s="72"/>
      <c r="I433" s="72"/>
      <c r="J433" s="72"/>
    </row>
    <row r="434" spans="1:10">
      <c r="A434" s="72"/>
      <c r="B434" s="72"/>
      <c r="C434" s="72"/>
      <c r="D434" s="72"/>
      <c r="E434" s="72"/>
      <c r="F434" s="72"/>
      <c r="G434" s="72"/>
      <c r="H434" s="72"/>
      <c r="I434" s="72"/>
      <c r="J434" s="72"/>
    </row>
    <row r="435" spans="1:10">
      <c r="A435" s="72"/>
      <c r="B435" s="72"/>
      <c r="C435" s="72"/>
      <c r="D435" s="72"/>
      <c r="E435" s="72"/>
      <c r="F435" s="72"/>
      <c r="G435" s="72"/>
      <c r="H435" s="72"/>
      <c r="I435" s="72"/>
      <c r="J435" s="72"/>
    </row>
    <row r="436" spans="1:10">
      <c r="A436" s="72"/>
      <c r="B436" s="72"/>
      <c r="C436" s="72"/>
      <c r="D436" s="72"/>
      <c r="E436" s="72"/>
      <c r="F436" s="72"/>
      <c r="G436" s="72"/>
      <c r="H436" s="72"/>
      <c r="I436" s="72"/>
      <c r="J436" s="72"/>
    </row>
    <row r="437" spans="1:10">
      <c r="A437" s="72"/>
      <c r="B437" s="72"/>
      <c r="C437" s="72"/>
      <c r="D437" s="72"/>
      <c r="E437" s="72"/>
      <c r="F437" s="72"/>
      <c r="G437" s="72"/>
      <c r="H437" s="72"/>
      <c r="I437" s="72"/>
      <c r="J437" s="72"/>
    </row>
    <row r="438" spans="1:10">
      <c r="A438" s="72"/>
      <c r="B438" s="72"/>
      <c r="C438" s="72"/>
      <c r="D438" s="72"/>
      <c r="E438" s="72"/>
      <c r="F438" s="72"/>
      <c r="G438" s="72"/>
      <c r="H438" s="72"/>
      <c r="I438" s="72"/>
      <c r="J438" s="72"/>
    </row>
    <row r="439" spans="1:10">
      <c r="A439" s="72"/>
      <c r="B439" s="72"/>
      <c r="C439" s="72"/>
      <c r="D439" s="72"/>
      <c r="E439" s="72"/>
      <c r="F439" s="72"/>
      <c r="G439" s="72"/>
      <c r="H439" s="72"/>
      <c r="I439" s="72"/>
      <c r="J439" s="72"/>
    </row>
    <row r="440" spans="1:10">
      <c r="A440" s="72"/>
      <c r="B440" s="72"/>
      <c r="C440" s="72"/>
      <c r="D440" s="72"/>
      <c r="E440" s="72"/>
      <c r="F440" s="72"/>
      <c r="G440" s="72"/>
      <c r="H440" s="72"/>
      <c r="I440" s="72"/>
      <c r="J440" s="72"/>
    </row>
    <row r="441" spans="1:10">
      <c r="A441" s="72"/>
      <c r="B441" s="72"/>
      <c r="C441" s="72"/>
      <c r="D441" s="72"/>
      <c r="E441" s="72"/>
      <c r="F441" s="72"/>
      <c r="G441" s="72"/>
      <c r="H441" s="72"/>
      <c r="I441" s="72"/>
      <c r="J441" s="72"/>
    </row>
    <row r="442" spans="1:10">
      <c r="A442" s="72"/>
      <c r="B442" s="72"/>
      <c r="C442" s="72"/>
      <c r="D442" s="72"/>
      <c r="E442" s="72"/>
      <c r="F442" s="72"/>
      <c r="G442" s="72"/>
      <c r="H442" s="72"/>
      <c r="I442" s="72"/>
      <c r="J442" s="72"/>
    </row>
    <row r="443" spans="1:10">
      <c r="A443" s="72"/>
      <c r="B443" s="72"/>
      <c r="C443" s="72"/>
      <c r="D443" s="72"/>
      <c r="E443" s="72"/>
      <c r="F443" s="72"/>
      <c r="G443" s="72"/>
      <c r="H443" s="72"/>
      <c r="I443" s="72"/>
      <c r="J443" s="72"/>
    </row>
    <row r="444" spans="1:10">
      <c r="A444" s="72"/>
      <c r="B444" s="72"/>
      <c r="C444" s="72"/>
      <c r="D444" s="72"/>
      <c r="E444" s="72"/>
      <c r="F444" s="72"/>
      <c r="G444" s="72"/>
      <c r="H444" s="72"/>
      <c r="I444" s="72"/>
      <c r="J444" s="72"/>
    </row>
    <row r="445" spans="1:10">
      <c r="A445" s="72"/>
      <c r="B445" s="72"/>
      <c r="C445" s="72"/>
      <c r="D445" s="72"/>
      <c r="E445" s="72"/>
      <c r="F445" s="72"/>
      <c r="G445" s="72"/>
      <c r="H445" s="72"/>
      <c r="I445" s="72"/>
      <c r="J445" s="72"/>
    </row>
    <row r="446" spans="1:10">
      <c r="A446" s="72"/>
      <c r="B446" s="72"/>
      <c r="C446" s="72"/>
      <c r="D446" s="72"/>
      <c r="E446" s="72"/>
      <c r="F446" s="72"/>
      <c r="G446" s="72"/>
      <c r="H446" s="72"/>
      <c r="I446" s="72"/>
      <c r="J446" s="72"/>
    </row>
    <row r="447" spans="1:10">
      <c r="A447" s="72"/>
      <c r="B447" s="72"/>
      <c r="C447" s="72"/>
      <c r="D447" s="72"/>
      <c r="E447" s="72"/>
      <c r="F447" s="72"/>
      <c r="G447" s="72"/>
      <c r="H447" s="72"/>
      <c r="I447" s="72"/>
      <c r="J447" s="72"/>
    </row>
    <row r="448" spans="1:10">
      <c r="A448" s="72"/>
      <c r="B448" s="72"/>
      <c r="C448" s="72"/>
      <c r="D448" s="72"/>
      <c r="E448" s="72"/>
      <c r="F448" s="72"/>
      <c r="G448" s="72"/>
      <c r="H448" s="72"/>
      <c r="I448" s="72"/>
      <c r="J448" s="72"/>
    </row>
    <row r="449" spans="1:10">
      <c r="A449" s="72"/>
      <c r="B449" s="72"/>
      <c r="C449" s="72"/>
      <c r="D449" s="72"/>
      <c r="E449" s="72"/>
      <c r="F449" s="72"/>
      <c r="G449" s="72"/>
      <c r="H449" s="72"/>
      <c r="I449" s="72"/>
      <c r="J449" s="72"/>
    </row>
    <row r="450" spans="1:10">
      <c r="A450" s="72"/>
      <c r="B450" s="72"/>
      <c r="C450" s="72"/>
      <c r="D450" s="72"/>
      <c r="E450" s="72"/>
      <c r="F450" s="72"/>
      <c r="G450" s="72"/>
      <c r="H450" s="72"/>
      <c r="I450" s="72"/>
      <c r="J450" s="72"/>
    </row>
    <row r="451" spans="1:10">
      <c r="A451" s="72"/>
      <c r="B451" s="72"/>
      <c r="C451" s="72"/>
      <c r="D451" s="72"/>
      <c r="E451" s="72"/>
      <c r="F451" s="72"/>
      <c r="G451" s="72"/>
      <c r="H451" s="72"/>
      <c r="I451" s="72"/>
      <c r="J451" s="72"/>
    </row>
    <row r="452" spans="1:10">
      <c r="A452" s="72"/>
      <c r="B452" s="72"/>
      <c r="C452" s="72"/>
      <c r="D452" s="72"/>
      <c r="E452" s="72"/>
      <c r="F452" s="72"/>
      <c r="G452" s="72"/>
      <c r="H452" s="72"/>
      <c r="I452" s="72"/>
      <c r="J452" s="72"/>
    </row>
    <row r="453" spans="1:10">
      <c r="A453" s="72"/>
      <c r="B453" s="72"/>
      <c r="C453" s="72"/>
      <c r="D453" s="72"/>
      <c r="E453" s="72"/>
      <c r="F453" s="72"/>
      <c r="G453" s="72"/>
      <c r="H453" s="72"/>
      <c r="I453" s="72"/>
      <c r="J453" s="72"/>
    </row>
    <row r="454" spans="1:10">
      <c r="A454" s="72"/>
      <c r="B454" s="72"/>
      <c r="C454" s="72"/>
      <c r="D454" s="72"/>
      <c r="E454" s="72"/>
      <c r="F454" s="72"/>
      <c r="G454" s="72"/>
      <c r="H454" s="72"/>
      <c r="I454" s="72"/>
      <c r="J454" s="72"/>
    </row>
    <row r="455" spans="1:10">
      <c r="A455" s="72"/>
      <c r="B455" s="72"/>
      <c r="C455" s="72"/>
      <c r="D455" s="72"/>
      <c r="E455" s="72"/>
      <c r="F455" s="72"/>
      <c r="G455" s="72"/>
      <c r="H455" s="72"/>
      <c r="I455" s="72"/>
      <c r="J455" s="72"/>
    </row>
    <row r="456" spans="1:10">
      <c r="A456" s="72"/>
      <c r="B456" s="72"/>
      <c r="C456" s="72"/>
      <c r="D456" s="72"/>
      <c r="E456" s="72"/>
      <c r="F456" s="72"/>
      <c r="G456" s="72"/>
      <c r="H456" s="72"/>
      <c r="I456" s="72"/>
      <c r="J456" s="72"/>
    </row>
    <row r="457" spans="1:10">
      <c r="A457" s="72"/>
      <c r="B457" s="72"/>
      <c r="C457" s="72"/>
      <c r="D457" s="72"/>
      <c r="E457" s="72"/>
      <c r="F457" s="72"/>
      <c r="G457" s="72"/>
      <c r="H457" s="72"/>
      <c r="I457" s="72"/>
      <c r="J457" s="72"/>
    </row>
    <row r="458" spans="1:10">
      <c r="A458" s="72"/>
      <c r="B458" s="72"/>
      <c r="C458" s="72"/>
      <c r="D458" s="72"/>
      <c r="E458" s="72"/>
      <c r="F458" s="72"/>
      <c r="G458" s="72"/>
      <c r="H458" s="72"/>
      <c r="I458" s="72"/>
      <c r="J458" s="72"/>
    </row>
    <row r="459" spans="1:10">
      <c r="A459" s="72"/>
      <c r="B459" s="72"/>
      <c r="C459" s="72"/>
      <c r="D459" s="72"/>
      <c r="E459" s="72"/>
      <c r="F459" s="72"/>
      <c r="G459" s="72"/>
      <c r="H459" s="72"/>
      <c r="I459" s="72"/>
      <c r="J459" s="72"/>
    </row>
    <row r="460" spans="1:10">
      <c r="A460" s="72"/>
      <c r="B460" s="72"/>
      <c r="C460" s="72"/>
      <c r="D460" s="72"/>
      <c r="E460" s="72"/>
      <c r="F460" s="72"/>
      <c r="G460" s="72"/>
      <c r="H460" s="72"/>
      <c r="I460" s="72"/>
      <c r="J460" s="72"/>
    </row>
    <row r="461" spans="1:10">
      <c r="A461" s="72"/>
      <c r="B461" s="72"/>
      <c r="C461" s="72"/>
      <c r="D461" s="72"/>
      <c r="E461" s="72"/>
      <c r="F461" s="72"/>
      <c r="G461" s="72"/>
      <c r="H461" s="72"/>
      <c r="I461" s="72"/>
      <c r="J461" s="72"/>
    </row>
    <row r="462" spans="1:10">
      <c r="A462" s="72"/>
      <c r="B462" s="72"/>
      <c r="C462" s="72"/>
      <c r="D462" s="72"/>
      <c r="E462" s="72"/>
      <c r="F462" s="72"/>
      <c r="G462" s="72"/>
      <c r="H462" s="72"/>
      <c r="I462" s="72"/>
      <c r="J462" s="72"/>
    </row>
    <row r="463" spans="1:10">
      <c r="A463" s="72"/>
      <c r="B463" s="72"/>
      <c r="C463" s="72"/>
      <c r="D463" s="72"/>
      <c r="E463" s="72"/>
      <c r="F463" s="72"/>
      <c r="G463" s="72"/>
      <c r="H463" s="72"/>
      <c r="I463" s="72"/>
      <c r="J463" s="72"/>
    </row>
    <row r="464" spans="1:10">
      <c r="A464" s="72"/>
      <c r="B464" s="72"/>
      <c r="C464" s="72"/>
      <c r="D464" s="72"/>
      <c r="E464" s="72"/>
      <c r="F464" s="72"/>
      <c r="G464" s="72"/>
      <c r="H464" s="72"/>
      <c r="I464" s="72"/>
      <c r="J464" s="72"/>
    </row>
    <row r="465" spans="1:10">
      <c r="A465" s="72"/>
      <c r="B465" s="72"/>
      <c r="C465" s="72"/>
      <c r="D465" s="72"/>
      <c r="E465" s="72"/>
      <c r="F465" s="72"/>
      <c r="G465" s="72"/>
      <c r="H465" s="72"/>
      <c r="I465" s="72"/>
      <c r="J465" s="72"/>
    </row>
    <row r="466" spans="1:10">
      <c r="A466" s="72"/>
      <c r="B466" s="72"/>
      <c r="C466" s="72"/>
      <c r="D466" s="72"/>
      <c r="E466" s="72"/>
      <c r="F466" s="72"/>
      <c r="G466" s="72"/>
      <c r="H466" s="72"/>
      <c r="I466" s="72"/>
      <c r="J466" s="72"/>
    </row>
    <row r="467" spans="1:10">
      <c r="A467" s="72"/>
      <c r="B467" s="72"/>
      <c r="C467" s="72"/>
      <c r="D467" s="72"/>
      <c r="E467" s="72"/>
      <c r="F467" s="72"/>
      <c r="G467" s="72"/>
      <c r="H467" s="72"/>
      <c r="I467" s="72"/>
      <c r="J467" s="72"/>
    </row>
    <row r="468" spans="1:10">
      <c r="A468" s="72"/>
      <c r="B468" s="72"/>
      <c r="C468" s="72"/>
      <c r="D468" s="72"/>
      <c r="E468" s="72"/>
      <c r="F468" s="72"/>
      <c r="G468" s="72"/>
      <c r="H468" s="72"/>
      <c r="I468" s="72"/>
      <c r="J468" s="72"/>
    </row>
    <row r="469" spans="1:10">
      <c r="A469" s="72"/>
      <c r="B469" s="72"/>
      <c r="C469" s="72"/>
      <c r="D469" s="72"/>
      <c r="E469" s="72"/>
      <c r="F469" s="72"/>
      <c r="G469" s="72"/>
      <c r="H469" s="72"/>
      <c r="I469" s="72"/>
      <c r="J469" s="72"/>
    </row>
    <row r="470" spans="1:10">
      <c r="A470" s="72"/>
      <c r="B470" s="72"/>
      <c r="C470" s="72"/>
      <c r="D470" s="72"/>
      <c r="E470" s="72"/>
      <c r="F470" s="72"/>
      <c r="G470" s="72"/>
      <c r="H470" s="72"/>
      <c r="I470" s="72"/>
      <c r="J470" s="72"/>
    </row>
    <row r="471" spans="1:10">
      <c r="A471" s="72"/>
      <c r="B471" s="72"/>
      <c r="C471" s="72"/>
      <c r="D471" s="72"/>
      <c r="E471" s="72"/>
      <c r="F471" s="72"/>
      <c r="G471" s="72"/>
      <c r="H471" s="72"/>
      <c r="I471" s="72"/>
      <c r="J471" s="72"/>
    </row>
    <row r="472" spans="1:10">
      <c r="A472" s="72"/>
      <c r="B472" s="72"/>
      <c r="C472" s="72"/>
      <c r="D472" s="72"/>
      <c r="E472" s="72"/>
      <c r="F472" s="72"/>
      <c r="G472" s="72"/>
      <c r="H472" s="72"/>
      <c r="I472" s="72"/>
      <c r="J472" s="72"/>
    </row>
    <row r="473" spans="1:10">
      <c r="A473" s="72"/>
      <c r="B473" s="72"/>
      <c r="C473" s="72"/>
      <c r="D473" s="72"/>
      <c r="E473" s="72"/>
      <c r="F473" s="72"/>
      <c r="G473" s="72"/>
      <c r="H473" s="72"/>
      <c r="I473" s="72"/>
      <c r="J473" s="72"/>
    </row>
    <row r="474" spans="1:10">
      <c r="A474" s="72"/>
      <c r="B474" s="72"/>
      <c r="C474" s="72"/>
      <c r="D474" s="72"/>
      <c r="E474" s="72"/>
      <c r="F474" s="72"/>
      <c r="G474" s="72"/>
      <c r="H474" s="72"/>
      <c r="I474" s="72"/>
      <c r="J474" s="72"/>
    </row>
    <row r="475" spans="1:10">
      <c r="A475" s="72"/>
      <c r="B475" s="72"/>
      <c r="C475" s="72"/>
      <c r="D475" s="72"/>
      <c r="E475" s="72"/>
      <c r="F475" s="72"/>
      <c r="G475" s="72"/>
      <c r="H475" s="72"/>
      <c r="I475" s="72"/>
      <c r="J475" s="72"/>
    </row>
    <row r="476" spans="1:10">
      <c r="A476" s="72"/>
      <c r="B476" s="72"/>
      <c r="C476" s="72"/>
      <c r="D476" s="72"/>
      <c r="E476" s="72"/>
      <c r="F476" s="72"/>
      <c r="G476" s="72"/>
      <c r="H476" s="72"/>
      <c r="I476" s="72"/>
      <c r="J476" s="72"/>
    </row>
    <row r="477" spans="1:10">
      <c r="A477" s="72"/>
      <c r="B477" s="72"/>
      <c r="C477" s="72"/>
      <c r="D477" s="72"/>
      <c r="E477" s="72"/>
      <c r="F477" s="72"/>
      <c r="G477" s="72"/>
      <c r="H477" s="72"/>
      <c r="I477" s="72"/>
      <c r="J477" s="72"/>
    </row>
    <row r="478" spans="1:10">
      <c r="A478" s="72"/>
      <c r="B478" s="72"/>
      <c r="C478" s="72"/>
      <c r="D478" s="72"/>
      <c r="E478" s="72"/>
      <c r="F478" s="72"/>
      <c r="G478" s="72"/>
      <c r="H478" s="72"/>
      <c r="I478" s="72"/>
      <c r="J478" s="72"/>
    </row>
    <row r="479" spans="1:10">
      <c r="A479" s="72"/>
      <c r="B479" s="72"/>
      <c r="C479" s="72"/>
      <c r="D479" s="72"/>
      <c r="E479" s="72"/>
      <c r="F479" s="72"/>
      <c r="G479" s="72"/>
      <c r="H479" s="72"/>
      <c r="I479" s="72"/>
      <c r="J479" s="72"/>
    </row>
    <row r="480" spans="1:10">
      <c r="A480" s="72"/>
      <c r="B480" s="72"/>
      <c r="C480" s="72"/>
      <c r="D480" s="72"/>
      <c r="E480" s="72"/>
      <c r="F480" s="72"/>
      <c r="G480" s="72"/>
      <c r="H480" s="72"/>
      <c r="I480" s="72"/>
      <c r="J480" s="72"/>
    </row>
    <row r="481" spans="1:10">
      <c r="A481" s="72"/>
      <c r="B481" s="72"/>
      <c r="C481" s="72"/>
      <c r="D481" s="72"/>
      <c r="E481" s="72"/>
      <c r="F481" s="72"/>
      <c r="G481" s="72"/>
      <c r="H481" s="72"/>
      <c r="I481" s="72"/>
      <c r="J481" s="72"/>
    </row>
    <row r="482" spans="1:10">
      <c r="A482" s="72"/>
      <c r="B482" s="72"/>
      <c r="C482" s="72"/>
      <c r="D482" s="72"/>
      <c r="E482" s="72"/>
      <c r="F482" s="72"/>
      <c r="G482" s="72"/>
      <c r="H482" s="72"/>
      <c r="I482" s="72"/>
      <c r="J482" s="72"/>
    </row>
    <row r="483" spans="1:10">
      <c r="A483" s="72"/>
      <c r="B483" s="72"/>
      <c r="C483" s="72"/>
      <c r="D483" s="72"/>
      <c r="E483" s="72"/>
      <c r="F483" s="72"/>
      <c r="G483" s="72"/>
      <c r="H483" s="72"/>
      <c r="I483" s="72"/>
      <c r="J483" s="72"/>
    </row>
    <row r="484" spans="1:10">
      <c r="A484" s="72"/>
      <c r="B484" s="72"/>
      <c r="C484" s="72"/>
      <c r="D484" s="72"/>
      <c r="E484" s="72"/>
      <c r="F484" s="72"/>
      <c r="G484" s="72"/>
      <c r="H484" s="72"/>
      <c r="I484" s="72"/>
      <c r="J484" s="72"/>
    </row>
    <row r="485" spans="1:10">
      <c r="A485" s="72"/>
      <c r="B485" s="72"/>
      <c r="C485" s="72"/>
      <c r="D485" s="72"/>
      <c r="E485" s="72"/>
      <c r="F485" s="72"/>
      <c r="G485" s="72"/>
      <c r="H485" s="72"/>
      <c r="I485" s="72"/>
      <c r="J485" s="72"/>
    </row>
    <row r="486" spans="1:10">
      <c r="A486" s="72"/>
      <c r="B486" s="72"/>
      <c r="C486" s="72"/>
      <c r="D486" s="72"/>
      <c r="E486" s="72"/>
      <c r="F486" s="72"/>
      <c r="G486" s="72"/>
      <c r="H486" s="72"/>
      <c r="I486" s="72"/>
      <c r="J486" s="72"/>
    </row>
    <row r="487" spans="1:10">
      <c r="A487" s="72"/>
      <c r="B487" s="72"/>
      <c r="C487" s="72"/>
      <c r="D487" s="72"/>
      <c r="E487" s="72"/>
      <c r="F487" s="72"/>
      <c r="G487" s="72"/>
      <c r="H487" s="72"/>
      <c r="I487" s="72"/>
      <c r="J487" s="72"/>
    </row>
    <row r="488" spans="1:10">
      <c r="A488" s="72"/>
      <c r="B488" s="72"/>
      <c r="C488" s="72"/>
      <c r="D488" s="72"/>
      <c r="E488" s="72"/>
      <c r="F488" s="72"/>
      <c r="G488" s="72"/>
      <c r="H488" s="72"/>
      <c r="I488" s="72"/>
      <c r="J488" s="72"/>
    </row>
    <row r="489" spans="1:10">
      <c r="A489" s="72"/>
      <c r="B489" s="72"/>
      <c r="C489" s="72"/>
      <c r="D489" s="72"/>
      <c r="E489" s="72"/>
      <c r="F489" s="72"/>
      <c r="G489" s="72"/>
      <c r="H489" s="72"/>
      <c r="I489" s="72"/>
      <c r="J489" s="72"/>
    </row>
    <row r="490" spans="1:10">
      <c r="A490" s="72"/>
      <c r="B490" s="72"/>
      <c r="C490" s="72"/>
      <c r="D490" s="72"/>
      <c r="E490" s="72"/>
      <c r="F490" s="72"/>
      <c r="G490" s="72"/>
      <c r="H490" s="72"/>
      <c r="I490" s="72"/>
      <c r="J490" s="72"/>
    </row>
    <row r="491" spans="1:10">
      <c r="A491" s="72"/>
      <c r="B491" s="72"/>
      <c r="C491" s="72"/>
      <c r="D491" s="72"/>
      <c r="E491" s="72"/>
      <c r="F491" s="72"/>
      <c r="G491" s="72"/>
      <c r="H491" s="72"/>
      <c r="I491" s="72"/>
      <c r="J491" s="72"/>
    </row>
    <row r="492" spans="1:10">
      <c r="A492" s="72"/>
      <c r="B492" s="72"/>
      <c r="C492" s="72"/>
      <c r="D492" s="72"/>
      <c r="E492" s="72"/>
      <c r="F492" s="72"/>
      <c r="G492" s="72"/>
      <c r="H492" s="72"/>
      <c r="I492" s="72"/>
      <c r="J492" s="72"/>
    </row>
    <row r="493" spans="1:10">
      <c r="A493" s="72"/>
      <c r="B493" s="72"/>
      <c r="C493" s="72"/>
      <c r="D493" s="72"/>
      <c r="E493" s="72"/>
      <c r="F493" s="72"/>
      <c r="G493" s="72"/>
      <c r="H493" s="72"/>
      <c r="I493" s="72"/>
      <c r="J493" s="72"/>
    </row>
    <row r="494" spans="1:10">
      <c r="A494" s="72"/>
      <c r="B494" s="72"/>
      <c r="C494" s="72"/>
      <c r="D494" s="72"/>
      <c r="E494" s="72"/>
      <c r="F494" s="72"/>
      <c r="G494" s="72"/>
      <c r="H494" s="72"/>
      <c r="I494" s="72"/>
      <c r="J494" s="72"/>
    </row>
    <row r="495" spans="1:10">
      <c r="A495" s="72"/>
      <c r="B495" s="72"/>
      <c r="C495" s="72"/>
      <c r="D495" s="72"/>
      <c r="E495" s="72"/>
      <c r="F495" s="72"/>
      <c r="G495" s="72"/>
      <c r="H495" s="72"/>
      <c r="I495" s="72"/>
      <c r="J495" s="72"/>
    </row>
    <row r="496" spans="1:10">
      <c r="A496" s="72"/>
      <c r="B496" s="72"/>
      <c r="C496" s="72"/>
      <c r="D496" s="72"/>
      <c r="E496" s="72"/>
      <c r="F496" s="72"/>
      <c r="G496" s="72"/>
      <c r="H496" s="72"/>
      <c r="I496" s="72"/>
      <c r="J496" s="72"/>
    </row>
    <row r="497" spans="1:10">
      <c r="A497" s="72"/>
      <c r="B497" s="72"/>
      <c r="C497" s="72"/>
      <c r="D497" s="72"/>
      <c r="E497" s="72"/>
      <c r="F497" s="72"/>
      <c r="G497" s="72"/>
      <c r="H497" s="72"/>
      <c r="I497" s="72"/>
      <c r="J497" s="72"/>
    </row>
    <row r="498" spans="1:10">
      <c r="A498" s="72"/>
      <c r="B498" s="72"/>
      <c r="C498" s="72"/>
      <c r="D498" s="72"/>
      <c r="E498" s="72"/>
      <c r="F498" s="72"/>
      <c r="G498" s="72"/>
      <c r="H498" s="72"/>
      <c r="I498" s="72"/>
      <c r="J498" s="72"/>
    </row>
    <row r="499" spans="1:10">
      <c r="A499" s="72"/>
      <c r="B499" s="72"/>
      <c r="C499" s="72"/>
      <c r="D499" s="72"/>
      <c r="E499" s="72"/>
      <c r="F499" s="72"/>
      <c r="G499" s="72"/>
      <c r="H499" s="72"/>
      <c r="I499" s="72"/>
      <c r="J499" s="72"/>
    </row>
    <row r="500" spans="1:10">
      <c r="A500" s="72"/>
      <c r="B500" s="72"/>
      <c r="C500" s="72"/>
      <c r="D500" s="72"/>
      <c r="E500" s="72"/>
      <c r="F500" s="72"/>
      <c r="G500" s="72"/>
      <c r="H500" s="72"/>
      <c r="I500" s="72"/>
      <c r="J500" s="72"/>
    </row>
    <row r="501" spans="1:10">
      <c r="A501" s="72"/>
      <c r="B501" s="72"/>
      <c r="C501" s="72"/>
      <c r="D501" s="72"/>
      <c r="E501" s="72"/>
      <c r="F501" s="72"/>
      <c r="G501" s="72"/>
      <c r="H501" s="72"/>
      <c r="I501" s="72"/>
      <c r="J501" s="72"/>
    </row>
    <row r="502" spans="1:10">
      <c r="A502" s="72"/>
      <c r="B502" s="72"/>
      <c r="C502" s="72"/>
      <c r="D502" s="72"/>
      <c r="E502" s="72"/>
      <c r="F502" s="72"/>
      <c r="G502" s="72"/>
      <c r="H502" s="72"/>
      <c r="I502" s="72"/>
      <c r="J502" s="72"/>
    </row>
    <row r="503" spans="1:10">
      <c r="A503" s="72"/>
      <c r="B503" s="72"/>
      <c r="C503" s="72"/>
      <c r="D503" s="72"/>
      <c r="E503" s="72"/>
      <c r="F503" s="72"/>
      <c r="G503" s="72"/>
      <c r="H503" s="72"/>
      <c r="I503" s="72"/>
      <c r="J503" s="72"/>
    </row>
    <row r="504" spans="1:10">
      <c r="A504" s="72"/>
      <c r="B504" s="72"/>
      <c r="C504" s="72"/>
      <c r="D504" s="72"/>
      <c r="E504" s="72"/>
      <c r="F504" s="72"/>
      <c r="G504" s="72"/>
      <c r="H504" s="72"/>
      <c r="I504" s="72"/>
      <c r="J504" s="72"/>
    </row>
    <row r="505" spans="1:10">
      <c r="A505" s="72"/>
      <c r="B505" s="72"/>
      <c r="C505" s="72"/>
      <c r="D505" s="72"/>
      <c r="E505" s="72"/>
      <c r="F505" s="72"/>
      <c r="G505" s="72"/>
      <c r="H505" s="72"/>
      <c r="I505" s="72"/>
      <c r="J505" s="72"/>
    </row>
    <row r="506" spans="1:10">
      <c r="A506" s="72"/>
      <c r="B506" s="72"/>
      <c r="C506" s="72"/>
      <c r="D506" s="72"/>
      <c r="E506" s="72"/>
      <c r="F506" s="72"/>
      <c r="G506" s="72"/>
      <c r="H506" s="72"/>
      <c r="I506" s="72"/>
      <c r="J506" s="72"/>
    </row>
    <row r="507" spans="1:10">
      <c r="A507" s="72"/>
      <c r="B507" s="72"/>
      <c r="C507" s="72"/>
      <c r="D507" s="72"/>
      <c r="E507" s="72"/>
      <c r="F507" s="72"/>
      <c r="G507" s="72"/>
      <c r="H507" s="72"/>
      <c r="I507" s="72"/>
      <c r="J507" s="72"/>
    </row>
    <row r="508" spans="1:10">
      <c r="A508" s="72"/>
      <c r="B508" s="72"/>
      <c r="C508" s="72"/>
      <c r="D508" s="72"/>
      <c r="E508" s="72"/>
      <c r="F508" s="72"/>
      <c r="G508" s="72"/>
      <c r="H508" s="72"/>
      <c r="I508" s="72"/>
      <c r="J508" s="72"/>
    </row>
    <row r="509" spans="1:10">
      <c r="A509" s="72"/>
      <c r="B509" s="72"/>
      <c r="C509" s="72"/>
      <c r="D509" s="72"/>
      <c r="E509" s="72"/>
      <c r="F509" s="72"/>
      <c r="G509" s="72"/>
      <c r="H509" s="72"/>
      <c r="I509" s="72"/>
      <c r="J509" s="72"/>
    </row>
    <row r="510" spans="1:10">
      <c r="A510" s="72"/>
      <c r="B510" s="72"/>
      <c r="C510" s="72"/>
      <c r="D510" s="72"/>
      <c r="E510" s="72"/>
      <c r="F510" s="72"/>
      <c r="G510" s="72"/>
      <c r="H510" s="72"/>
      <c r="I510" s="72"/>
      <c r="J510" s="72"/>
    </row>
    <row r="511" spans="1:10">
      <c r="A511" s="72"/>
      <c r="B511" s="72"/>
      <c r="C511" s="72"/>
      <c r="D511" s="72"/>
      <c r="E511" s="72"/>
      <c r="F511" s="72"/>
      <c r="G511" s="72"/>
      <c r="H511" s="72"/>
      <c r="I511" s="72"/>
      <c r="J511" s="72"/>
    </row>
    <row r="512" spans="1:10">
      <c r="A512" s="72"/>
      <c r="B512" s="72"/>
      <c r="C512" s="72"/>
      <c r="D512" s="72"/>
      <c r="E512" s="72"/>
      <c r="F512" s="72"/>
      <c r="G512" s="72"/>
      <c r="H512" s="72"/>
      <c r="I512" s="72"/>
      <c r="J512" s="72"/>
    </row>
    <row r="513" spans="1:10">
      <c r="A513" s="72"/>
      <c r="B513" s="72"/>
      <c r="C513" s="72"/>
      <c r="D513" s="72"/>
      <c r="E513" s="72"/>
      <c r="F513" s="72"/>
      <c r="G513" s="72"/>
      <c r="H513" s="72"/>
      <c r="I513" s="72"/>
      <c r="J513" s="72"/>
    </row>
    <row r="514" spans="1:10">
      <c r="A514" s="72"/>
      <c r="B514" s="72"/>
      <c r="C514" s="72"/>
      <c r="D514" s="72"/>
      <c r="E514" s="72"/>
      <c r="F514" s="72"/>
      <c r="G514" s="72"/>
      <c r="H514" s="72"/>
      <c r="I514" s="72"/>
      <c r="J514" s="72"/>
    </row>
    <row r="515" spans="1:10">
      <c r="A515" s="72"/>
      <c r="B515" s="72"/>
      <c r="C515" s="72"/>
      <c r="D515" s="72"/>
      <c r="E515" s="72"/>
      <c r="F515" s="72"/>
      <c r="G515" s="72"/>
      <c r="H515" s="72"/>
      <c r="I515" s="72"/>
      <c r="J515" s="72"/>
    </row>
    <row r="516" spans="1:10">
      <c r="A516" s="72"/>
      <c r="B516" s="72"/>
      <c r="C516" s="72"/>
      <c r="D516" s="72"/>
      <c r="E516" s="72"/>
      <c r="F516" s="72"/>
      <c r="G516" s="72"/>
      <c r="H516" s="72"/>
      <c r="I516" s="72"/>
      <c r="J516" s="72"/>
    </row>
    <row r="517" spans="1:10">
      <c r="A517" s="72"/>
      <c r="B517" s="72"/>
      <c r="C517" s="72"/>
      <c r="D517" s="72"/>
      <c r="E517" s="72"/>
      <c r="F517" s="72"/>
      <c r="G517" s="72"/>
      <c r="H517" s="72"/>
      <c r="I517" s="72"/>
      <c r="J517" s="72"/>
    </row>
    <row r="518" spans="1:10">
      <c r="A518" s="72"/>
      <c r="B518" s="72"/>
      <c r="C518" s="72"/>
      <c r="D518" s="72"/>
      <c r="E518" s="72"/>
      <c r="F518" s="72"/>
      <c r="G518" s="72"/>
      <c r="H518" s="72"/>
      <c r="I518" s="72"/>
      <c r="J518" s="72"/>
    </row>
    <row r="519" spans="1:10">
      <c r="A519" s="72"/>
      <c r="B519" s="72"/>
      <c r="C519" s="72"/>
      <c r="D519" s="72"/>
      <c r="E519" s="72"/>
      <c r="F519" s="72"/>
      <c r="G519" s="72"/>
      <c r="H519" s="72"/>
      <c r="I519" s="72"/>
      <c r="J519" s="72"/>
    </row>
    <row r="520" spans="1:10">
      <c r="A520" s="72"/>
      <c r="B520" s="72"/>
      <c r="C520" s="72"/>
      <c r="D520" s="72"/>
      <c r="E520" s="72"/>
      <c r="F520" s="72"/>
      <c r="G520" s="72"/>
      <c r="H520" s="72"/>
      <c r="I520" s="72"/>
      <c r="J520" s="72"/>
    </row>
    <row r="521" spans="1:10">
      <c r="A521" s="72"/>
      <c r="B521" s="72"/>
      <c r="C521" s="72"/>
      <c r="D521" s="72"/>
      <c r="E521" s="72"/>
      <c r="F521" s="72"/>
      <c r="G521" s="72"/>
      <c r="H521" s="72"/>
      <c r="I521" s="72"/>
      <c r="J521" s="72"/>
    </row>
    <row r="522" spans="1:10">
      <c r="A522" s="72"/>
      <c r="B522" s="72"/>
      <c r="C522" s="72"/>
      <c r="D522" s="72"/>
      <c r="E522" s="72"/>
      <c r="F522" s="72"/>
      <c r="G522" s="72"/>
      <c r="H522" s="72"/>
      <c r="I522" s="72"/>
      <c r="J522" s="72"/>
    </row>
    <row r="523" spans="1:10">
      <c r="A523" s="72"/>
      <c r="B523" s="72"/>
      <c r="C523" s="72"/>
      <c r="D523" s="72"/>
      <c r="E523" s="72"/>
      <c r="F523" s="72"/>
      <c r="G523" s="72"/>
      <c r="H523" s="72"/>
      <c r="I523" s="72"/>
      <c r="J523" s="72"/>
    </row>
    <row r="524" spans="1:10">
      <c r="A524" s="72"/>
      <c r="B524" s="72"/>
      <c r="C524" s="72"/>
      <c r="D524" s="72"/>
      <c r="E524" s="72"/>
      <c r="F524" s="72"/>
      <c r="G524" s="72"/>
      <c r="H524" s="72"/>
      <c r="I524" s="72"/>
      <c r="J524" s="72"/>
    </row>
    <row r="525" spans="1:10">
      <c r="A525" s="72"/>
      <c r="B525" s="72"/>
      <c r="C525" s="72"/>
      <c r="D525" s="72"/>
      <c r="E525" s="72"/>
      <c r="F525" s="72"/>
      <c r="G525" s="72"/>
      <c r="H525" s="72"/>
      <c r="I525" s="72"/>
      <c r="J525" s="72"/>
    </row>
    <row r="526" spans="1:10">
      <c r="A526" s="72"/>
      <c r="B526" s="72"/>
      <c r="C526" s="72"/>
      <c r="D526" s="72"/>
      <c r="E526" s="72"/>
      <c r="F526" s="72"/>
      <c r="G526" s="72"/>
      <c r="H526" s="72"/>
      <c r="I526" s="72"/>
      <c r="J526" s="72"/>
    </row>
    <row r="527" spans="1:10">
      <c r="A527" s="72"/>
      <c r="B527" s="72"/>
      <c r="C527" s="72"/>
      <c r="D527" s="72"/>
      <c r="E527" s="72"/>
      <c r="F527" s="72"/>
      <c r="G527" s="72"/>
      <c r="H527" s="72"/>
      <c r="I527" s="72"/>
      <c r="J527" s="72"/>
    </row>
    <row r="528" spans="1:10">
      <c r="A528" s="72"/>
      <c r="B528" s="72"/>
      <c r="C528" s="72"/>
      <c r="D528" s="72"/>
      <c r="E528" s="72"/>
      <c r="F528" s="72"/>
      <c r="G528" s="72"/>
      <c r="H528" s="72"/>
      <c r="I528" s="72"/>
      <c r="J528" s="72"/>
    </row>
    <row r="529" spans="1:10">
      <c r="A529" s="72"/>
      <c r="B529" s="72"/>
      <c r="C529" s="72"/>
      <c r="D529" s="72"/>
      <c r="E529" s="72"/>
      <c r="F529" s="72"/>
      <c r="G529" s="72"/>
      <c r="H529" s="72"/>
      <c r="I529" s="72"/>
      <c r="J529" s="72"/>
    </row>
    <row r="530" spans="1:10">
      <c r="A530" s="72"/>
      <c r="B530" s="72"/>
      <c r="C530" s="72"/>
      <c r="D530" s="72"/>
      <c r="E530" s="72"/>
      <c r="F530" s="72"/>
      <c r="G530" s="72"/>
      <c r="H530" s="72"/>
      <c r="I530" s="72"/>
      <c r="J530" s="72"/>
    </row>
    <row r="531" spans="1:10">
      <c r="A531" s="72"/>
      <c r="B531" s="72"/>
      <c r="C531" s="72"/>
      <c r="D531" s="72"/>
      <c r="E531" s="72"/>
      <c r="F531" s="72"/>
      <c r="G531" s="72"/>
      <c r="H531" s="72"/>
      <c r="I531" s="72"/>
      <c r="J531" s="72"/>
    </row>
    <row r="532" spans="1:10">
      <c r="A532" s="72"/>
      <c r="B532" s="72"/>
      <c r="C532" s="72"/>
      <c r="D532" s="72"/>
      <c r="E532" s="72"/>
      <c r="F532" s="72"/>
      <c r="G532" s="72"/>
      <c r="H532" s="72"/>
      <c r="I532" s="72"/>
      <c r="J532" s="72"/>
    </row>
    <row r="533" spans="1:10">
      <c r="A533" s="72"/>
      <c r="B533" s="72"/>
      <c r="C533" s="72"/>
      <c r="D533" s="72"/>
      <c r="E533" s="72"/>
      <c r="F533" s="72"/>
      <c r="G533" s="72"/>
      <c r="H533" s="72"/>
      <c r="I533" s="72"/>
      <c r="J533" s="72"/>
    </row>
    <row r="534" spans="1:10">
      <c r="A534" s="72"/>
      <c r="B534" s="72"/>
      <c r="C534" s="72"/>
      <c r="D534" s="72"/>
      <c r="E534" s="72"/>
      <c r="F534" s="72"/>
      <c r="G534" s="72"/>
      <c r="H534" s="72"/>
      <c r="I534" s="72"/>
      <c r="J534" s="72"/>
    </row>
    <row r="535" spans="1:10">
      <c r="A535" s="72"/>
      <c r="B535" s="72"/>
      <c r="C535" s="72"/>
      <c r="D535" s="72"/>
      <c r="E535" s="72"/>
      <c r="F535" s="72"/>
      <c r="G535" s="72"/>
      <c r="H535" s="72"/>
      <c r="I535" s="72"/>
      <c r="J535" s="72"/>
    </row>
    <row r="536" spans="1:10">
      <c r="A536" s="72"/>
      <c r="B536" s="72"/>
      <c r="C536" s="72"/>
      <c r="D536" s="72"/>
      <c r="E536" s="72"/>
      <c r="F536" s="72"/>
      <c r="G536" s="72"/>
      <c r="H536" s="72"/>
      <c r="I536" s="72"/>
      <c r="J536" s="72"/>
    </row>
    <row r="537" spans="1:10">
      <c r="A537" s="72"/>
      <c r="B537" s="72"/>
      <c r="C537" s="72"/>
      <c r="D537" s="72"/>
      <c r="E537" s="72"/>
      <c r="F537" s="72"/>
      <c r="G537" s="72"/>
      <c r="H537" s="72"/>
      <c r="I537" s="72"/>
      <c r="J537" s="72"/>
    </row>
    <row r="538" spans="1:10">
      <c r="A538" s="72"/>
      <c r="B538" s="72"/>
      <c r="C538" s="72"/>
      <c r="D538" s="72"/>
      <c r="E538" s="72"/>
      <c r="F538" s="72"/>
      <c r="G538" s="72"/>
      <c r="H538" s="72"/>
      <c r="I538" s="72"/>
      <c r="J538" s="72"/>
    </row>
    <row r="539" spans="1:10">
      <c r="A539" s="72"/>
      <c r="B539" s="72"/>
      <c r="C539" s="72"/>
      <c r="D539" s="72"/>
      <c r="E539" s="72"/>
      <c r="F539" s="72"/>
      <c r="G539" s="72"/>
      <c r="H539" s="72"/>
      <c r="I539" s="72"/>
      <c r="J539" s="72"/>
    </row>
    <row r="540" spans="1:10">
      <c r="A540" s="72"/>
      <c r="B540" s="72"/>
      <c r="C540" s="72"/>
      <c r="D540" s="72"/>
      <c r="E540" s="72"/>
      <c r="F540" s="72"/>
      <c r="G540" s="72"/>
      <c r="H540" s="72"/>
      <c r="I540" s="72"/>
      <c r="J540" s="72"/>
    </row>
    <row r="541" spans="1:10">
      <c r="A541" s="72"/>
      <c r="B541" s="72"/>
      <c r="C541" s="72"/>
      <c r="D541" s="72"/>
      <c r="E541" s="72"/>
      <c r="F541" s="72"/>
      <c r="G541" s="72"/>
      <c r="H541" s="72"/>
      <c r="I541" s="72"/>
      <c r="J541" s="72"/>
    </row>
    <row r="542" spans="1:10">
      <c r="A542" s="72"/>
      <c r="B542" s="72"/>
      <c r="C542" s="72"/>
      <c r="D542" s="72"/>
      <c r="E542" s="72"/>
      <c r="F542" s="72"/>
      <c r="G542" s="72"/>
      <c r="H542" s="72"/>
      <c r="I542" s="72"/>
      <c r="J542" s="72"/>
    </row>
    <row r="543" spans="1:10">
      <c r="A543" s="72"/>
      <c r="B543" s="72"/>
      <c r="C543" s="72"/>
      <c r="D543" s="72"/>
      <c r="E543" s="72"/>
      <c r="F543" s="72"/>
      <c r="G543" s="72"/>
      <c r="H543" s="72"/>
      <c r="I543" s="72"/>
      <c r="J543" s="72"/>
    </row>
    <row r="544" spans="1:10">
      <c r="A544" s="72"/>
      <c r="B544" s="72"/>
      <c r="C544" s="72"/>
      <c r="D544" s="72"/>
      <c r="E544" s="72"/>
      <c r="F544" s="72"/>
      <c r="G544" s="72"/>
      <c r="H544" s="72"/>
      <c r="I544" s="72"/>
      <c r="J544" s="72"/>
    </row>
    <row r="545" spans="1:10">
      <c r="A545" s="72"/>
      <c r="B545" s="72"/>
      <c r="C545" s="72"/>
      <c r="D545" s="72"/>
      <c r="E545" s="72"/>
      <c r="F545" s="72"/>
      <c r="G545" s="72"/>
      <c r="H545" s="72"/>
      <c r="I545" s="72"/>
      <c r="J545" s="72"/>
    </row>
    <row r="546" spans="1:10">
      <c r="A546" s="72"/>
      <c r="B546" s="72"/>
      <c r="C546" s="72"/>
      <c r="D546" s="72"/>
      <c r="E546" s="72"/>
      <c r="F546" s="72"/>
      <c r="G546" s="72"/>
      <c r="H546" s="72"/>
      <c r="I546" s="72"/>
      <c r="J546" s="72"/>
    </row>
    <row r="547" spans="1:10">
      <c r="A547" s="72"/>
      <c r="B547" s="72"/>
      <c r="C547" s="72"/>
      <c r="D547" s="72"/>
      <c r="E547" s="72"/>
      <c r="F547" s="72"/>
      <c r="G547" s="72"/>
      <c r="H547" s="72"/>
      <c r="I547" s="72"/>
      <c r="J547" s="72"/>
    </row>
    <row r="548" spans="1:10">
      <c r="A548" s="72"/>
      <c r="B548" s="72"/>
      <c r="C548" s="72"/>
      <c r="D548" s="72"/>
      <c r="E548" s="72"/>
      <c r="F548" s="72"/>
      <c r="G548" s="72"/>
      <c r="H548" s="72"/>
      <c r="I548" s="72"/>
      <c r="J548" s="72"/>
    </row>
    <row r="549" spans="1:10">
      <c r="A549" s="72"/>
      <c r="B549" s="72"/>
      <c r="C549" s="72"/>
      <c r="D549" s="72"/>
      <c r="E549" s="72"/>
      <c r="F549" s="72"/>
      <c r="G549" s="72"/>
      <c r="H549" s="72"/>
      <c r="I549" s="72"/>
      <c r="J549" s="72"/>
    </row>
    <row r="550" spans="1:10">
      <c r="A550" s="72"/>
      <c r="B550" s="72"/>
      <c r="C550" s="72"/>
      <c r="D550" s="72"/>
      <c r="E550" s="72"/>
      <c r="F550" s="72"/>
      <c r="G550" s="72"/>
      <c r="H550" s="72"/>
      <c r="I550" s="72"/>
      <c r="J550" s="72"/>
    </row>
    <row r="551" spans="1:10">
      <c r="A551" s="72"/>
      <c r="B551" s="72"/>
      <c r="C551" s="72"/>
      <c r="D551" s="72"/>
      <c r="E551" s="72"/>
      <c r="F551" s="72"/>
      <c r="G551" s="72"/>
      <c r="H551" s="72"/>
      <c r="I551" s="72"/>
      <c r="J551" s="72"/>
    </row>
    <row r="552" spans="1:10">
      <c r="A552" s="72"/>
      <c r="B552" s="72"/>
      <c r="C552" s="72"/>
      <c r="D552" s="72"/>
      <c r="E552" s="72"/>
      <c r="F552" s="72"/>
      <c r="G552" s="72"/>
      <c r="H552" s="72"/>
      <c r="I552" s="72"/>
      <c r="J552" s="72"/>
    </row>
    <row r="553" spans="1:10">
      <c r="A553" s="72"/>
      <c r="B553" s="72"/>
      <c r="C553" s="72"/>
      <c r="D553" s="72"/>
      <c r="E553" s="72"/>
      <c r="F553" s="72"/>
      <c r="G553" s="72"/>
      <c r="H553" s="72"/>
      <c r="I553" s="72"/>
      <c r="J553" s="72"/>
    </row>
    <row r="554" spans="1:10">
      <c r="A554" s="72"/>
      <c r="B554" s="72"/>
      <c r="C554" s="72"/>
      <c r="D554" s="72"/>
      <c r="E554" s="72"/>
      <c r="F554" s="72"/>
      <c r="G554" s="72"/>
      <c r="H554" s="72"/>
      <c r="I554" s="72"/>
      <c r="J554" s="72"/>
    </row>
    <row r="555" spans="1:10">
      <c r="A555" s="72"/>
      <c r="B555" s="72"/>
      <c r="C555" s="72"/>
      <c r="D555" s="72"/>
      <c r="E555" s="72"/>
      <c r="F555" s="72"/>
      <c r="G555" s="72"/>
      <c r="H555" s="72"/>
      <c r="I555" s="72"/>
      <c r="J555" s="72"/>
    </row>
    <row r="556" spans="1:10">
      <c r="A556" s="72"/>
      <c r="B556" s="72"/>
      <c r="C556" s="72"/>
      <c r="D556" s="72"/>
      <c r="E556" s="72"/>
      <c r="F556" s="72"/>
      <c r="G556" s="72"/>
      <c r="H556" s="72"/>
      <c r="I556" s="72"/>
      <c r="J556" s="72"/>
    </row>
    <row r="557" spans="1:10">
      <c r="A557" s="72"/>
      <c r="B557" s="72"/>
      <c r="C557" s="72"/>
      <c r="D557" s="72"/>
      <c r="E557" s="72"/>
      <c r="F557" s="72"/>
      <c r="G557" s="72"/>
      <c r="H557" s="72"/>
      <c r="I557" s="72"/>
      <c r="J557" s="72"/>
    </row>
    <row r="558" spans="1:10">
      <c r="A558" s="72"/>
      <c r="B558" s="72"/>
      <c r="C558" s="72"/>
      <c r="D558" s="72"/>
      <c r="E558" s="72"/>
      <c r="F558" s="72"/>
      <c r="G558" s="72"/>
      <c r="H558" s="72"/>
      <c r="I558" s="72"/>
      <c r="J558" s="72"/>
    </row>
    <row r="559" spans="1:10">
      <c r="A559" s="72"/>
      <c r="B559" s="72"/>
      <c r="C559" s="72"/>
      <c r="D559" s="72"/>
      <c r="E559" s="72"/>
      <c r="F559" s="72"/>
      <c r="G559" s="72"/>
      <c r="H559" s="72"/>
      <c r="I559" s="72"/>
      <c r="J559" s="72"/>
    </row>
    <row r="560" spans="1:10">
      <c r="A560" s="72"/>
      <c r="B560" s="72"/>
      <c r="C560" s="72"/>
      <c r="D560" s="72"/>
      <c r="E560" s="72"/>
      <c r="F560" s="72"/>
      <c r="G560" s="72"/>
      <c r="H560" s="72"/>
      <c r="I560" s="72"/>
      <c r="J560" s="72"/>
    </row>
    <row r="561" spans="1:10">
      <c r="A561" s="72"/>
      <c r="B561" s="72"/>
      <c r="C561" s="72"/>
      <c r="D561" s="72"/>
      <c r="E561" s="72"/>
      <c r="F561" s="72"/>
      <c r="G561" s="72"/>
      <c r="H561" s="72"/>
      <c r="I561" s="72"/>
      <c r="J561" s="72"/>
    </row>
    <row r="562" spans="1:10">
      <c r="A562" s="72"/>
      <c r="B562" s="72"/>
      <c r="C562" s="72"/>
      <c r="D562" s="72"/>
      <c r="E562" s="72"/>
      <c r="F562" s="72"/>
      <c r="G562" s="72"/>
      <c r="H562" s="72"/>
      <c r="I562" s="72"/>
      <c r="J562" s="72"/>
    </row>
    <row r="563" spans="1:10">
      <c r="A563" s="72"/>
      <c r="B563" s="72"/>
      <c r="C563" s="72"/>
      <c r="D563" s="72"/>
      <c r="E563" s="72"/>
      <c r="F563" s="72"/>
      <c r="G563" s="72"/>
      <c r="H563" s="72"/>
      <c r="I563" s="72"/>
      <c r="J563" s="72"/>
    </row>
    <row r="564" spans="1:10">
      <c r="A564" s="72"/>
      <c r="B564" s="72"/>
      <c r="C564" s="72"/>
      <c r="D564" s="72"/>
      <c r="E564" s="72"/>
      <c r="F564" s="72"/>
      <c r="G564" s="72"/>
      <c r="H564" s="72"/>
      <c r="I564" s="72"/>
      <c r="J564" s="72"/>
    </row>
    <row r="565" spans="1:10">
      <c r="A565" s="72"/>
      <c r="B565" s="72"/>
      <c r="C565" s="72"/>
      <c r="D565" s="72"/>
      <c r="E565" s="72"/>
      <c r="F565" s="72"/>
      <c r="G565" s="72"/>
      <c r="H565" s="72"/>
      <c r="I565" s="72"/>
      <c r="J565" s="72"/>
    </row>
    <row r="566" spans="1:10">
      <c r="A566" s="72"/>
      <c r="B566" s="72"/>
      <c r="C566" s="72"/>
      <c r="D566" s="72"/>
      <c r="E566" s="72"/>
      <c r="F566" s="72"/>
      <c r="G566" s="72"/>
      <c r="H566" s="72"/>
      <c r="I566" s="72"/>
      <c r="J566" s="72"/>
    </row>
    <row r="567" spans="1:10">
      <c r="A567" s="72"/>
      <c r="B567" s="72"/>
      <c r="C567" s="72"/>
      <c r="D567" s="72"/>
      <c r="E567" s="72"/>
      <c r="F567" s="72"/>
      <c r="G567" s="72"/>
      <c r="H567" s="72"/>
      <c r="I567" s="72"/>
      <c r="J567" s="72"/>
    </row>
    <row r="568" spans="1:10">
      <c r="A568" s="72"/>
      <c r="B568" s="72"/>
      <c r="C568" s="72"/>
      <c r="D568" s="72"/>
      <c r="E568" s="72"/>
      <c r="F568" s="72"/>
      <c r="G568" s="72"/>
      <c r="H568" s="72"/>
      <c r="I568" s="72"/>
      <c r="J568" s="72"/>
    </row>
    <row r="569" spans="1:10">
      <c r="A569" s="72"/>
      <c r="B569" s="72"/>
      <c r="C569" s="72"/>
      <c r="D569" s="72"/>
      <c r="E569" s="72"/>
      <c r="F569" s="72"/>
      <c r="G569" s="72"/>
      <c r="H569" s="72"/>
      <c r="I569" s="72"/>
      <c r="J569" s="72"/>
    </row>
    <row r="570" spans="1:10">
      <c r="A570" s="72"/>
      <c r="B570" s="72"/>
      <c r="C570" s="72"/>
      <c r="D570" s="72"/>
      <c r="E570" s="72"/>
      <c r="F570" s="72"/>
      <c r="G570" s="72"/>
      <c r="H570" s="72"/>
      <c r="I570" s="72"/>
      <c r="J570" s="72"/>
    </row>
    <row r="571" spans="1:10">
      <c r="A571" s="72"/>
      <c r="B571" s="72"/>
      <c r="C571" s="72"/>
      <c r="D571" s="72"/>
      <c r="E571" s="72"/>
      <c r="F571" s="72"/>
      <c r="G571" s="72"/>
      <c r="H571" s="72"/>
      <c r="I571" s="72"/>
      <c r="J571" s="72"/>
    </row>
    <row r="572" spans="1:10">
      <c r="A572" s="72"/>
      <c r="B572" s="72"/>
      <c r="C572" s="72"/>
      <c r="D572" s="72"/>
      <c r="E572" s="72"/>
      <c r="F572" s="72"/>
      <c r="G572" s="72"/>
      <c r="H572" s="72"/>
      <c r="I572" s="72"/>
      <c r="J572" s="72"/>
    </row>
    <row r="573" spans="1:10">
      <c r="A573" s="72"/>
      <c r="B573" s="72"/>
      <c r="C573" s="72"/>
      <c r="D573" s="72"/>
      <c r="E573" s="72"/>
      <c r="F573" s="72"/>
      <c r="G573" s="72"/>
      <c r="H573" s="72"/>
      <c r="I573" s="72"/>
      <c r="J573" s="72"/>
    </row>
    <row r="574" spans="1:10">
      <c r="A574" s="72"/>
      <c r="B574" s="72"/>
      <c r="C574" s="72"/>
      <c r="D574" s="72"/>
      <c r="E574" s="72"/>
      <c r="F574" s="72"/>
      <c r="G574" s="72"/>
      <c r="H574" s="72"/>
      <c r="I574" s="72"/>
      <c r="J574" s="72"/>
    </row>
    <row r="575" spans="1:10">
      <c r="A575" s="72"/>
      <c r="B575" s="72"/>
      <c r="C575" s="72"/>
      <c r="D575" s="72"/>
      <c r="E575" s="72"/>
      <c r="F575" s="72"/>
      <c r="G575" s="72"/>
      <c r="H575" s="72"/>
      <c r="I575" s="72"/>
      <c r="J575" s="72"/>
    </row>
    <row r="576" spans="1:10">
      <c r="A576" s="72"/>
      <c r="B576" s="72"/>
      <c r="C576" s="72"/>
      <c r="D576" s="72"/>
      <c r="E576" s="72"/>
      <c r="F576" s="72"/>
      <c r="G576" s="72"/>
      <c r="H576" s="72"/>
      <c r="I576" s="72"/>
      <c r="J576" s="72"/>
    </row>
    <row r="577" spans="1:10">
      <c r="A577" s="72"/>
      <c r="B577" s="72"/>
      <c r="C577" s="72"/>
      <c r="D577" s="72"/>
      <c r="E577" s="72"/>
      <c r="F577" s="72"/>
      <c r="G577" s="72"/>
      <c r="H577" s="72"/>
      <c r="I577" s="72"/>
      <c r="J577" s="72"/>
    </row>
    <row r="578" spans="1:10">
      <c r="A578" s="72"/>
      <c r="B578" s="72"/>
      <c r="C578" s="72"/>
      <c r="D578" s="72"/>
      <c r="E578" s="72"/>
      <c r="F578" s="72"/>
      <c r="G578" s="72"/>
      <c r="H578" s="72"/>
      <c r="I578" s="72"/>
      <c r="J578" s="72"/>
    </row>
    <row r="579" spans="1:10">
      <c r="A579" s="72"/>
      <c r="B579" s="72"/>
      <c r="C579" s="72"/>
      <c r="D579" s="72"/>
      <c r="E579" s="72"/>
      <c r="F579" s="72"/>
      <c r="G579" s="72"/>
      <c r="H579" s="72"/>
      <c r="I579" s="72"/>
      <c r="J579" s="72"/>
    </row>
    <row r="580" spans="1:10">
      <c r="A580" s="72"/>
      <c r="B580" s="72"/>
      <c r="C580" s="72"/>
      <c r="D580" s="72"/>
      <c r="E580" s="72"/>
      <c r="F580" s="72"/>
      <c r="G580" s="72"/>
      <c r="H580" s="72"/>
      <c r="I580" s="72"/>
      <c r="J580" s="72"/>
    </row>
    <row r="581" spans="1:10">
      <c r="A581" s="72"/>
      <c r="B581" s="72"/>
      <c r="C581" s="72"/>
      <c r="D581" s="72"/>
      <c r="E581" s="72"/>
      <c r="F581" s="72"/>
      <c r="G581" s="72"/>
      <c r="H581" s="72"/>
      <c r="I581" s="72"/>
      <c r="J581" s="72"/>
    </row>
    <row r="582" spans="1:10">
      <c r="A582" s="72"/>
      <c r="B582" s="72"/>
      <c r="C582" s="72"/>
      <c r="D582" s="72"/>
      <c r="E582" s="72"/>
      <c r="F582" s="72"/>
      <c r="G582" s="72"/>
      <c r="H582" s="72"/>
      <c r="I582" s="72"/>
      <c r="J582" s="72"/>
    </row>
    <row r="583" spans="1:10">
      <c r="A583" s="72"/>
      <c r="B583" s="72"/>
      <c r="C583" s="72"/>
      <c r="D583" s="72"/>
      <c r="E583" s="72"/>
      <c r="F583" s="72"/>
      <c r="G583" s="72"/>
      <c r="H583" s="72"/>
      <c r="I583" s="72"/>
      <c r="J583" s="72"/>
    </row>
    <row r="584" spans="1:10">
      <c r="A584" s="72"/>
      <c r="B584" s="72"/>
      <c r="C584" s="72"/>
      <c r="D584" s="72"/>
      <c r="E584" s="72"/>
      <c r="F584" s="72"/>
      <c r="G584" s="72"/>
      <c r="H584" s="72"/>
      <c r="I584" s="72"/>
      <c r="J584" s="72"/>
    </row>
    <row r="585" spans="1:10">
      <c r="A585" s="72"/>
      <c r="B585" s="72"/>
      <c r="C585" s="72"/>
      <c r="D585" s="72"/>
      <c r="E585" s="72"/>
      <c r="F585" s="72"/>
      <c r="G585" s="72"/>
      <c r="H585" s="72"/>
      <c r="I585" s="72"/>
      <c r="J585" s="72"/>
    </row>
    <row r="586" spans="1:10">
      <c r="A586" s="72"/>
      <c r="B586" s="72"/>
      <c r="C586" s="72"/>
      <c r="D586" s="72"/>
      <c r="E586" s="72"/>
      <c r="F586" s="72"/>
      <c r="G586" s="72"/>
      <c r="H586" s="72"/>
      <c r="I586" s="72"/>
      <c r="J586" s="72"/>
    </row>
    <row r="587" spans="1:10">
      <c r="A587" s="72"/>
      <c r="B587" s="72"/>
      <c r="C587" s="72"/>
      <c r="D587" s="72"/>
      <c r="E587" s="72"/>
      <c r="F587" s="72"/>
      <c r="G587" s="72"/>
      <c r="H587" s="72"/>
      <c r="I587" s="72"/>
      <c r="J587" s="72"/>
    </row>
    <row r="588" spans="1:10">
      <c r="A588" s="72"/>
      <c r="B588" s="72"/>
      <c r="C588" s="72"/>
      <c r="D588" s="72"/>
      <c r="E588" s="72"/>
      <c r="F588" s="72"/>
      <c r="G588" s="72"/>
      <c r="H588" s="72"/>
      <c r="I588" s="72"/>
      <c r="J588" s="72"/>
    </row>
    <row r="589" spans="1:10">
      <c r="A589" s="72"/>
      <c r="B589" s="72"/>
      <c r="C589" s="72"/>
      <c r="D589" s="72"/>
      <c r="E589" s="72"/>
      <c r="F589" s="72"/>
      <c r="G589" s="72"/>
      <c r="H589" s="72"/>
      <c r="I589" s="72"/>
      <c r="J589" s="72"/>
    </row>
    <row r="590" spans="1:10">
      <c r="A590" s="72"/>
      <c r="B590" s="72"/>
      <c r="C590" s="72"/>
      <c r="D590" s="72"/>
      <c r="E590" s="72"/>
      <c r="F590" s="72"/>
      <c r="G590" s="72"/>
      <c r="H590" s="72"/>
      <c r="I590" s="72"/>
      <c r="J590" s="72"/>
    </row>
    <row r="591" spans="1:10">
      <c r="A591" s="72"/>
      <c r="B591" s="72"/>
      <c r="C591" s="72"/>
      <c r="D591" s="72"/>
      <c r="E591" s="72"/>
      <c r="F591" s="72"/>
      <c r="G591" s="72"/>
      <c r="H591" s="72"/>
      <c r="I591" s="72"/>
      <c r="J591" s="72"/>
    </row>
    <row r="592" spans="1:10">
      <c r="A592" s="72"/>
      <c r="B592" s="72"/>
      <c r="C592" s="72"/>
      <c r="D592" s="72"/>
      <c r="E592" s="72"/>
      <c r="F592" s="72"/>
      <c r="G592" s="72"/>
      <c r="H592" s="72"/>
      <c r="I592" s="72"/>
      <c r="J592" s="72"/>
    </row>
    <row r="593" spans="1:10">
      <c r="A593" s="72"/>
      <c r="B593" s="72"/>
      <c r="C593" s="72"/>
      <c r="D593" s="72"/>
      <c r="E593" s="72"/>
      <c r="F593" s="72"/>
      <c r="G593" s="72"/>
      <c r="H593" s="72"/>
      <c r="I593" s="72"/>
      <c r="J593" s="72"/>
    </row>
    <row r="594" spans="1:10">
      <c r="A594" s="72"/>
      <c r="B594" s="72"/>
      <c r="C594" s="72"/>
      <c r="D594" s="72"/>
      <c r="E594" s="72"/>
      <c r="F594" s="72"/>
      <c r="G594" s="72"/>
      <c r="H594" s="72"/>
      <c r="I594" s="72"/>
      <c r="J594" s="72"/>
    </row>
    <row r="595" spans="1:10">
      <c r="A595" s="72"/>
      <c r="B595" s="72"/>
      <c r="C595" s="72"/>
      <c r="D595" s="72"/>
      <c r="E595" s="72"/>
      <c r="F595" s="72"/>
      <c r="G595" s="72"/>
      <c r="H595" s="72"/>
      <c r="I595" s="72"/>
      <c r="J595" s="72"/>
    </row>
    <row r="596" spans="1:10">
      <c r="A596" s="72"/>
      <c r="B596" s="72"/>
      <c r="C596" s="72"/>
      <c r="D596" s="72"/>
      <c r="E596" s="72"/>
      <c r="F596" s="72"/>
      <c r="G596" s="72"/>
      <c r="H596" s="72"/>
      <c r="I596" s="72"/>
      <c r="J596" s="72"/>
    </row>
    <row r="597" spans="1:10">
      <c r="A597" s="72"/>
      <c r="B597" s="72"/>
      <c r="C597" s="72"/>
      <c r="D597" s="72"/>
      <c r="E597" s="72"/>
      <c r="F597" s="72"/>
      <c r="G597" s="72"/>
      <c r="H597" s="72"/>
      <c r="I597" s="72"/>
      <c r="J597" s="72"/>
    </row>
    <row r="598" spans="1:10">
      <c r="A598" s="72"/>
      <c r="B598" s="72"/>
      <c r="C598" s="72"/>
      <c r="D598" s="72"/>
      <c r="E598" s="72"/>
      <c r="F598" s="72"/>
      <c r="G598" s="72"/>
      <c r="H598" s="72"/>
      <c r="I598" s="72"/>
      <c r="J598" s="72"/>
    </row>
    <row r="599" spans="1:10">
      <c r="A599" s="72"/>
      <c r="B599" s="72"/>
      <c r="C599" s="72"/>
      <c r="D599" s="72"/>
      <c r="E599" s="72"/>
      <c r="F599" s="72"/>
      <c r="G599" s="72"/>
      <c r="H599" s="72"/>
      <c r="I599" s="72"/>
      <c r="J599" s="72"/>
    </row>
    <row r="600" spans="1:10">
      <c r="A600" s="72"/>
      <c r="B600" s="72"/>
      <c r="C600" s="72"/>
      <c r="D600" s="72"/>
      <c r="E600" s="72"/>
      <c r="F600" s="72"/>
      <c r="G600" s="72"/>
      <c r="H600" s="72"/>
      <c r="I600" s="72"/>
      <c r="J600" s="72"/>
    </row>
    <row r="601" spans="1:10">
      <c r="A601" s="72"/>
      <c r="B601" s="72"/>
      <c r="C601" s="72"/>
      <c r="D601" s="72"/>
      <c r="E601" s="72"/>
      <c r="F601" s="72"/>
      <c r="G601" s="72"/>
      <c r="H601" s="72"/>
      <c r="I601" s="72"/>
      <c r="J601" s="72"/>
    </row>
    <row r="602" spans="1:10">
      <c r="A602" s="72"/>
      <c r="B602" s="72"/>
      <c r="C602" s="72"/>
      <c r="D602" s="72"/>
      <c r="E602" s="72"/>
      <c r="F602" s="72"/>
      <c r="G602" s="72"/>
      <c r="H602" s="72"/>
      <c r="I602" s="72"/>
      <c r="J602" s="72"/>
    </row>
    <row r="603" spans="1:10">
      <c r="A603" s="72"/>
      <c r="B603" s="72"/>
      <c r="C603" s="72"/>
      <c r="D603" s="72"/>
      <c r="E603" s="72"/>
      <c r="F603" s="72"/>
      <c r="G603" s="72"/>
      <c r="H603" s="72"/>
      <c r="I603" s="72"/>
      <c r="J603" s="72"/>
    </row>
    <row r="604" spans="1:10">
      <c r="A604" s="72"/>
      <c r="B604" s="72"/>
      <c r="C604" s="72"/>
      <c r="D604" s="72"/>
      <c r="E604" s="72"/>
      <c r="F604" s="72"/>
      <c r="G604" s="72"/>
      <c r="H604" s="72"/>
      <c r="I604" s="72"/>
      <c r="J604" s="72"/>
    </row>
    <row r="605" spans="1:10">
      <c r="A605" s="72"/>
      <c r="B605" s="72"/>
      <c r="C605" s="72"/>
      <c r="D605" s="72"/>
      <c r="E605" s="72"/>
      <c r="F605" s="72"/>
      <c r="G605" s="72"/>
      <c r="H605" s="72"/>
      <c r="I605" s="72"/>
      <c r="J605" s="72"/>
    </row>
    <row r="606" spans="1:10">
      <c r="A606" s="72"/>
      <c r="B606" s="72"/>
      <c r="C606" s="72"/>
      <c r="D606" s="72"/>
      <c r="E606" s="72"/>
      <c r="F606" s="72"/>
      <c r="G606" s="72"/>
      <c r="H606" s="72"/>
      <c r="I606" s="72"/>
      <c r="J606" s="72"/>
    </row>
    <row r="607" spans="1:10">
      <c r="A607" s="72"/>
      <c r="B607" s="72"/>
      <c r="C607" s="72"/>
      <c r="D607" s="72"/>
      <c r="E607" s="72"/>
      <c r="F607" s="72"/>
      <c r="G607" s="72"/>
      <c r="H607" s="72"/>
      <c r="I607" s="72"/>
      <c r="J607" s="72"/>
    </row>
    <row r="608" spans="1:10">
      <c r="A608" s="72"/>
      <c r="B608" s="72"/>
      <c r="C608" s="72"/>
      <c r="D608" s="72"/>
      <c r="E608" s="72"/>
      <c r="F608" s="72"/>
      <c r="G608" s="72"/>
      <c r="H608" s="72"/>
      <c r="I608" s="72"/>
      <c r="J608" s="72"/>
    </row>
    <row r="609" spans="1:10">
      <c r="A609" s="72"/>
      <c r="B609" s="72"/>
      <c r="C609" s="72"/>
      <c r="D609" s="72"/>
      <c r="E609" s="72"/>
      <c r="F609" s="72"/>
      <c r="G609" s="72"/>
      <c r="H609" s="72"/>
      <c r="I609" s="72"/>
      <c r="J609" s="72"/>
    </row>
    <row r="610" spans="1:10">
      <c r="A610" s="72"/>
      <c r="B610" s="72"/>
      <c r="C610" s="72"/>
      <c r="D610" s="72"/>
      <c r="E610" s="72"/>
      <c r="F610" s="72"/>
      <c r="G610" s="72"/>
      <c r="H610" s="72"/>
      <c r="I610" s="72"/>
      <c r="J610" s="72"/>
    </row>
    <row r="611" spans="1:10">
      <c r="A611" s="72"/>
      <c r="B611" s="72"/>
      <c r="C611" s="72"/>
      <c r="D611" s="72"/>
      <c r="E611" s="72"/>
      <c r="F611" s="72"/>
      <c r="G611" s="72"/>
      <c r="H611" s="72"/>
      <c r="I611" s="72"/>
      <c r="J611" s="72"/>
    </row>
    <row r="612" spans="1:10">
      <c r="A612" s="72"/>
      <c r="B612" s="72"/>
      <c r="C612" s="72"/>
      <c r="D612" s="72"/>
      <c r="E612" s="72"/>
      <c r="F612" s="72"/>
      <c r="G612" s="72"/>
      <c r="H612" s="72"/>
      <c r="I612" s="72"/>
      <c r="J612" s="72"/>
    </row>
    <row r="613" spans="1:10">
      <c r="A613" s="72"/>
      <c r="B613" s="72"/>
      <c r="C613" s="72"/>
      <c r="D613" s="72"/>
      <c r="E613" s="72"/>
      <c r="F613" s="72"/>
      <c r="G613" s="72"/>
      <c r="H613" s="72"/>
      <c r="I613" s="72"/>
      <c r="J613" s="72"/>
    </row>
    <row r="614" spans="1:10">
      <c r="A614" s="72"/>
      <c r="B614" s="72"/>
      <c r="C614" s="72"/>
      <c r="D614" s="72"/>
      <c r="E614" s="72"/>
      <c r="F614" s="72"/>
      <c r="G614" s="72"/>
      <c r="H614" s="72"/>
      <c r="I614" s="72"/>
      <c r="J614" s="72"/>
    </row>
    <row r="615" spans="1:10">
      <c r="A615" s="72"/>
      <c r="B615" s="72"/>
      <c r="C615" s="72"/>
      <c r="D615" s="72"/>
      <c r="E615" s="72"/>
      <c r="F615" s="72"/>
      <c r="G615" s="72"/>
      <c r="H615" s="72"/>
      <c r="I615" s="72"/>
      <c r="J615" s="72"/>
    </row>
    <row r="616" spans="1:10">
      <c r="A616" s="72"/>
      <c r="B616" s="72"/>
      <c r="C616" s="72"/>
      <c r="D616" s="72"/>
      <c r="E616" s="72"/>
      <c r="F616" s="72"/>
      <c r="G616" s="72"/>
      <c r="H616" s="72"/>
      <c r="I616" s="72"/>
      <c r="J616" s="72"/>
    </row>
    <row r="617" spans="1:10">
      <c r="A617" s="72"/>
      <c r="B617" s="72"/>
      <c r="C617" s="72"/>
      <c r="D617" s="72"/>
      <c r="E617" s="72"/>
      <c r="F617" s="72"/>
      <c r="G617" s="72"/>
      <c r="H617" s="72"/>
      <c r="I617" s="72"/>
      <c r="J617" s="72"/>
    </row>
    <row r="618" spans="1:10">
      <c r="A618" s="72"/>
      <c r="B618" s="72"/>
      <c r="C618" s="72"/>
      <c r="D618" s="72"/>
      <c r="E618" s="72"/>
      <c r="F618" s="72"/>
      <c r="G618" s="72"/>
      <c r="H618" s="72"/>
      <c r="I618" s="72"/>
      <c r="J618" s="72"/>
    </row>
    <row r="619" spans="1:10">
      <c r="A619" s="72"/>
      <c r="B619" s="72"/>
      <c r="C619" s="72"/>
      <c r="D619" s="72"/>
      <c r="E619" s="72"/>
      <c r="F619" s="72"/>
      <c r="G619" s="72"/>
      <c r="H619" s="72"/>
      <c r="I619" s="72"/>
      <c r="J619" s="72"/>
    </row>
    <row r="620" spans="1:10">
      <c r="A620" s="72"/>
      <c r="B620" s="72"/>
      <c r="C620" s="72"/>
      <c r="D620" s="72"/>
      <c r="E620" s="72"/>
      <c r="F620" s="72"/>
      <c r="G620" s="72"/>
      <c r="H620" s="72"/>
      <c r="I620" s="72"/>
      <c r="J620" s="72"/>
    </row>
    <row r="621" spans="1:10">
      <c r="A621" s="72"/>
      <c r="B621" s="72"/>
      <c r="C621" s="72"/>
      <c r="D621" s="72"/>
      <c r="E621" s="72"/>
      <c r="F621" s="72"/>
      <c r="G621" s="72"/>
      <c r="H621" s="72"/>
      <c r="I621" s="72"/>
      <c r="J621" s="72"/>
    </row>
    <row r="622" spans="1:10">
      <c r="A622" s="72"/>
      <c r="B622" s="72"/>
      <c r="C622" s="72"/>
      <c r="D622" s="72"/>
      <c r="E622" s="72"/>
      <c r="F622" s="72"/>
      <c r="G622" s="72"/>
      <c r="H622" s="72"/>
      <c r="I622" s="72"/>
      <c r="J622" s="72"/>
    </row>
    <row r="623" spans="1:10">
      <c r="A623" s="72"/>
      <c r="B623" s="72"/>
      <c r="C623" s="72"/>
      <c r="D623" s="72"/>
      <c r="E623" s="72"/>
      <c r="F623" s="72"/>
      <c r="G623" s="72"/>
      <c r="H623" s="72"/>
      <c r="I623" s="72"/>
      <c r="J623" s="72"/>
    </row>
    <row r="624" spans="1:10">
      <c r="A624" s="72"/>
      <c r="B624" s="72"/>
      <c r="C624" s="72"/>
      <c r="D624" s="72"/>
      <c r="E624" s="72"/>
      <c r="F624" s="72"/>
      <c r="G624" s="72"/>
      <c r="H624" s="72"/>
      <c r="I624" s="72"/>
      <c r="J624" s="72"/>
    </row>
    <row r="625" spans="1:10">
      <c r="A625" s="72"/>
      <c r="B625" s="72"/>
      <c r="C625" s="72"/>
      <c r="D625" s="72"/>
      <c r="E625" s="72"/>
      <c r="F625" s="72"/>
      <c r="G625" s="72"/>
      <c r="H625" s="72"/>
      <c r="I625" s="72"/>
      <c r="J625" s="72"/>
    </row>
    <row r="626" spans="1:10">
      <c r="A626" s="72"/>
      <c r="B626" s="72"/>
      <c r="C626" s="72"/>
      <c r="D626" s="72"/>
      <c r="E626" s="72"/>
      <c r="F626" s="72"/>
      <c r="G626" s="72"/>
      <c r="H626" s="72"/>
      <c r="I626" s="72"/>
      <c r="J626" s="72"/>
    </row>
    <row r="627" spans="1:10">
      <c r="A627" s="72"/>
      <c r="B627" s="72"/>
      <c r="C627" s="72"/>
      <c r="D627" s="72"/>
      <c r="E627" s="72"/>
      <c r="F627" s="72"/>
      <c r="G627" s="72"/>
      <c r="H627" s="72"/>
      <c r="I627" s="72"/>
      <c r="J627" s="72"/>
    </row>
    <row r="628" spans="1:10">
      <c r="A628" s="72"/>
      <c r="B628" s="72"/>
      <c r="C628" s="72"/>
      <c r="D628" s="72"/>
      <c r="E628" s="72"/>
      <c r="F628" s="72"/>
      <c r="G628" s="72"/>
      <c r="H628" s="72"/>
      <c r="I628" s="72"/>
      <c r="J628" s="72"/>
    </row>
    <row r="629" spans="1:10">
      <c r="A629" s="72"/>
      <c r="B629" s="72"/>
      <c r="C629" s="72"/>
      <c r="D629" s="72"/>
      <c r="E629" s="72"/>
      <c r="F629" s="72"/>
      <c r="G629" s="72"/>
      <c r="H629" s="72"/>
      <c r="I629" s="72"/>
      <c r="J629" s="72"/>
    </row>
    <row r="630" spans="1:10">
      <c r="A630" s="72"/>
      <c r="B630" s="72"/>
      <c r="C630" s="72"/>
      <c r="D630" s="72"/>
      <c r="E630" s="72"/>
      <c r="F630" s="72"/>
      <c r="G630" s="72"/>
      <c r="H630" s="72"/>
      <c r="I630" s="72"/>
      <c r="J630" s="72"/>
    </row>
    <row r="631" spans="1:10">
      <c r="A631" s="72"/>
      <c r="B631" s="72"/>
      <c r="C631" s="72"/>
      <c r="D631" s="72"/>
      <c r="E631" s="72"/>
      <c r="F631" s="72"/>
      <c r="G631" s="72"/>
      <c r="H631" s="72"/>
      <c r="I631" s="72"/>
      <c r="J631" s="72"/>
    </row>
    <row r="632" spans="1:10">
      <c r="A632" s="72"/>
      <c r="B632" s="72"/>
      <c r="C632" s="72"/>
      <c r="D632" s="72"/>
      <c r="E632" s="72"/>
      <c r="F632" s="72"/>
      <c r="G632" s="72"/>
      <c r="H632" s="72"/>
      <c r="I632" s="72"/>
      <c r="J632" s="72"/>
    </row>
    <row r="633" spans="1:10">
      <c r="A633" s="72"/>
      <c r="B633" s="72"/>
      <c r="C633" s="72"/>
      <c r="D633" s="72"/>
      <c r="E633" s="72"/>
      <c r="F633" s="72"/>
      <c r="G633" s="72"/>
      <c r="H633" s="72"/>
      <c r="I633" s="72"/>
      <c r="J633" s="72"/>
    </row>
    <row r="634" spans="1:10">
      <c r="A634" s="72"/>
      <c r="B634" s="72"/>
      <c r="C634" s="72"/>
      <c r="D634" s="72"/>
      <c r="E634" s="72"/>
      <c r="F634" s="72"/>
      <c r="G634" s="72"/>
      <c r="H634" s="72"/>
      <c r="I634" s="72"/>
      <c r="J634" s="72"/>
    </row>
    <row r="635" spans="1:10">
      <c r="A635" s="72"/>
      <c r="B635" s="72"/>
      <c r="C635" s="72"/>
      <c r="D635" s="72"/>
      <c r="E635" s="72"/>
      <c r="F635" s="72"/>
      <c r="G635" s="72"/>
      <c r="H635" s="72"/>
      <c r="I635" s="72"/>
      <c r="J635" s="72"/>
    </row>
    <row r="636" spans="1:10">
      <c r="A636" s="72"/>
      <c r="B636" s="72"/>
      <c r="C636" s="72"/>
      <c r="D636" s="72"/>
      <c r="E636" s="72"/>
      <c r="F636" s="72"/>
      <c r="G636" s="72"/>
      <c r="H636" s="72"/>
      <c r="I636" s="72"/>
      <c r="J636" s="72"/>
    </row>
    <row r="637" spans="1:10">
      <c r="A637" s="72"/>
      <c r="B637" s="72"/>
      <c r="C637" s="72"/>
      <c r="D637" s="72"/>
      <c r="E637" s="72"/>
      <c r="F637" s="72"/>
      <c r="G637" s="72"/>
      <c r="H637" s="72"/>
      <c r="I637" s="72"/>
      <c r="J637" s="72"/>
    </row>
    <row r="638" spans="1:10">
      <c r="A638" s="72"/>
      <c r="B638" s="72"/>
      <c r="C638" s="72"/>
      <c r="D638" s="72"/>
      <c r="E638" s="72"/>
      <c r="F638" s="72"/>
      <c r="G638" s="72"/>
      <c r="H638" s="72"/>
      <c r="I638" s="72"/>
      <c r="J638" s="72"/>
    </row>
    <row r="639" spans="1:10">
      <c r="A639" s="72"/>
      <c r="B639" s="72"/>
      <c r="C639" s="72"/>
      <c r="D639" s="72"/>
      <c r="E639" s="72"/>
      <c r="F639" s="72"/>
      <c r="G639" s="72"/>
      <c r="H639" s="72"/>
      <c r="I639" s="72"/>
      <c r="J639" s="72"/>
    </row>
    <row r="640" spans="1:10">
      <c r="A640" s="72"/>
      <c r="B640" s="72"/>
      <c r="C640" s="72"/>
      <c r="D640" s="72"/>
      <c r="E640" s="72"/>
      <c r="F640" s="72"/>
      <c r="G640" s="72"/>
      <c r="H640" s="72"/>
      <c r="I640" s="72"/>
      <c r="J640" s="72"/>
    </row>
    <row r="641" spans="1:10">
      <c r="A641" s="72"/>
      <c r="B641" s="72"/>
      <c r="C641" s="72"/>
      <c r="D641" s="72"/>
      <c r="E641" s="72"/>
      <c r="F641" s="72"/>
      <c r="G641" s="72"/>
      <c r="H641" s="72"/>
      <c r="I641" s="72"/>
      <c r="J641" s="72"/>
    </row>
    <row r="642" spans="1:10">
      <c r="A642" s="72"/>
      <c r="B642" s="72"/>
      <c r="C642" s="72"/>
      <c r="D642" s="72"/>
      <c r="E642" s="72"/>
      <c r="F642" s="72"/>
      <c r="G642" s="72"/>
      <c r="H642" s="72"/>
      <c r="I642" s="72"/>
      <c r="J642" s="72"/>
    </row>
    <row r="643" spans="1:10">
      <c r="A643" s="72"/>
      <c r="B643" s="72"/>
      <c r="C643" s="72"/>
      <c r="D643" s="72"/>
      <c r="E643" s="72"/>
      <c r="F643" s="72"/>
      <c r="G643" s="72"/>
      <c r="H643" s="72"/>
      <c r="I643" s="72"/>
      <c r="J643" s="72"/>
    </row>
    <row r="644" spans="1:10">
      <c r="A644" s="72"/>
      <c r="B644" s="72"/>
      <c r="C644" s="72"/>
      <c r="D644" s="72"/>
      <c r="E644" s="72"/>
      <c r="F644" s="72"/>
      <c r="G644" s="72"/>
      <c r="H644" s="72"/>
      <c r="I644" s="72"/>
      <c r="J644" s="72"/>
    </row>
    <row r="645" spans="1:10">
      <c r="A645" s="72"/>
      <c r="B645" s="72"/>
      <c r="C645" s="72"/>
      <c r="D645" s="72"/>
      <c r="E645" s="72"/>
      <c r="F645" s="72"/>
      <c r="G645" s="72"/>
      <c r="H645" s="72"/>
      <c r="I645" s="72"/>
      <c r="J645" s="72"/>
    </row>
    <row r="646" spans="1:10">
      <c r="A646" s="72"/>
      <c r="B646" s="72"/>
      <c r="C646" s="72"/>
      <c r="D646" s="72"/>
      <c r="E646" s="72"/>
      <c r="F646" s="72"/>
      <c r="G646" s="72"/>
      <c r="H646" s="72"/>
      <c r="I646" s="72"/>
      <c r="J646" s="72"/>
    </row>
    <row r="647" spans="1:10">
      <c r="A647" s="72"/>
      <c r="B647" s="72"/>
      <c r="C647" s="72"/>
      <c r="D647" s="72"/>
      <c r="E647" s="72"/>
      <c r="F647" s="72"/>
      <c r="G647" s="72"/>
      <c r="H647" s="72"/>
      <c r="I647" s="72"/>
      <c r="J647" s="72"/>
    </row>
    <row r="648" spans="1:10">
      <c r="A648" s="72"/>
      <c r="B648" s="72"/>
      <c r="C648" s="72"/>
      <c r="D648" s="72"/>
      <c r="E648" s="72"/>
      <c r="F648" s="72"/>
      <c r="G648" s="72"/>
      <c r="H648" s="72"/>
      <c r="I648" s="72"/>
      <c r="J648" s="72"/>
    </row>
    <row r="649" spans="1:10">
      <c r="A649" s="72"/>
      <c r="B649" s="72"/>
      <c r="C649" s="72"/>
      <c r="D649" s="72"/>
      <c r="E649" s="72"/>
      <c r="F649" s="72"/>
      <c r="G649" s="72"/>
      <c r="H649" s="72"/>
      <c r="I649" s="72"/>
      <c r="J649" s="72"/>
    </row>
    <row r="650" spans="1:10">
      <c r="A650" s="72"/>
      <c r="B650" s="72"/>
      <c r="C650" s="72"/>
      <c r="D650" s="72"/>
      <c r="E650" s="72"/>
      <c r="F650" s="72"/>
      <c r="G650" s="72"/>
      <c r="H650" s="72"/>
      <c r="I650" s="72"/>
      <c r="J650" s="72"/>
    </row>
    <row r="651" spans="1:10">
      <c r="A651" s="72"/>
      <c r="B651" s="72"/>
      <c r="C651" s="72"/>
      <c r="D651" s="72"/>
      <c r="E651" s="72"/>
      <c r="F651" s="72"/>
      <c r="G651" s="72"/>
      <c r="H651" s="72"/>
      <c r="I651" s="72"/>
      <c r="J651" s="72"/>
    </row>
    <row r="652" spans="1:10">
      <c r="A652" s="72"/>
      <c r="B652" s="72"/>
      <c r="C652" s="72"/>
      <c r="D652" s="72"/>
      <c r="E652" s="72"/>
      <c r="F652" s="72"/>
      <c r="G652" s="72"/>
      <c r="H652" s="72"/>
      <c r="I652" s="72"/>
      <c r="J652" s="72"/>
    </row>
    <row r="653" spans="1:10">
      <c r="A653" s="72"/>
      <c r="B653" s="72"/>
      <c r="C653" s="72"/>
      <c r="D653" s="72"/>
      <c r="E653" s="72"/>
      <c r="F653" s="72"/>
      <c r="G653" s="72"/>
      <c r="H653" s="72"/>
      <c r="I653" s="72"/>
      <c r="J653" s="72"/>
    </row>
    <row r="654" spans="1:10">
      <c r="A654" s="72"/>
      <c r="B654" s="72"/>
      <c r="C654" s="72"/>
      <c r="D654" s="72"/>
      <c r="E654" s="72"/>
      <c r="F654" s="72"/>
      <c r="G654" s="72"/>
      <c r="H654" s="72"/>
      <c r="I654" s="72"/>
      <c r="J654" s="72"/>
    </row>
    <row r="655" spans="1:10">
      <c r="A655" s="72"/>
      <c r="B655" s="72"/>
      <c r="C655" s="72"/>
      <c r="D655" s="72"/>
      <c r="E655" s="72"/>
      <c r="F655" s="72"/>
      <c r="G655" s="72"/>
      <c r="H655" s="72"/>
      <c r="I655" s="72"/>
      <c r="J655" s="72"/>
    </row>
    <row r="656" spans="1:10">
      <c r="A656" s="72"/>
      <c r="B656" s="72"/>
      <c r="C656" s="72"/>
      <c r="D656" s="72"/>
      <c r="E656" s="72"/>
      <c r="F656" s="72"/>
      <c r="G656" s="72"/>
      <c r="H656" s="72"/>
      <c r="I656" s="72"/>
      <c r="J656" s="72"/>
    </row>
    <row r="657" spans="1:10">
      <c r="A657" s="72"/>
      <c r="B657" s="72"/>
      <c r="C657" s="72"/>
      <c r="D657" s="72"/>
      <c r="E657" s="72"/>
      <c r="F657" s="72"/>
      <c r="G657" s="72"/>
      <c r="H657" s="72"/>
      <c r="I657" s="72"/>
      <c r="J657" s="72"/>
    </row>
    <row r="658" spans="1:10">
      <c r="A658" s="72"/>
      <c r="B658" s="72"/>
      <c r="C658" s="72"/>
      <c r="D658" s="72"/>
      <c r="E658" s="72"/>
      <c r="F658" s="72"/>
      <c r="G658" s="72"/>
      <c r="H658" s="72"/>
      <c r="I658" s="72"/>
      <c r="J658" s="72"/>
    </row>
    <row r="659" spans="1:10">
      <c r="A659" s="72"/>
      <c r="B659" s="72"/>
      <c r="C659" s="72"/>
      <c r="D659" s="72"/>
      <c r="E659" s="72"/>
      <c r="F659" s="72"/>
      <c r="G659" s="72"/>
      <c r="H659" s="72"/>
      <c r="I659" s="72"/>
      <c r="J659" s="72"/>
    </row>
    <row r="660" spans="1:10">
      <c r="A660" s="72"/>
      <c r="B660" s="72"/>
      <c r="C660" s="72"/>
      <c r="D660" s="72"/>
      <c r="E660" s="72"/>
      <c r="F660" s="72"/>
      <c r="G660" s="72"/>
      <c r="H660" s="72"/>
      <c r="I660" s="72"/>
      <c r="J660" s="72"/>
    </row>
    <row r="661" spans="1:10">
      <c r="A661" s="72"/>
      <c r="B661" s="72"/>
      <c r="C661" s="72"/>
      <c r="D661" s="72"/>
      <c r="E661" s="72"/>
      <c r="F661" s="72"/>
      <c r="G661" s="72"/>
      <c r="H661" s="72"/>
      <c r="I661" s="72"/>
      <c r="J661" s="72"/>
    </row>
    <row r="662" spans="1:10">
      <c r="A662" s="72"/>
      <c r="B662" s="72"/>
      <c r="C662" s="72"/>
      <c r="D662" s="72"/>
      <c r="E662" s="72"/>
      <c r="F662" s="72"/>
      <c r="G662" s="72"/>
      <c r="H662" s="72"/>
      <c r="I662" s="72"/>
      <c r="J662" s="72"/>
    </row>
    <row r="663" spans="1:10">
      <c r="A663" s="72"/>
      <c r="B663" s="72"/>
      <c r="C663" s="72"/>
      <c r="D663" s="72"/>
      <c r="E663" s="72"/>
      <c r="F663" s="72"/>
      <c r="G663" s="72"/>
      <c r="H663" s="72"/>
      <c r="I663" s="72"/>
      <c r="J663" s="72"/>
    </row>
    <row r="664" spans="1:10">
      <c r="A664" s="72"/>
      <c r="B664" s="72"/>
      <c r="C664" s="72"/>
      <c r="D664" s="72"/>
      <c r="E664" s="72"/>
      <c r="F664" s="72"/>
      <c r="G664" s="72"/>
      <c r="H664" s="72"/>
      <c r="I664" s="72"/>
      <c r="J664" s="72"/>
    </row>
    <row r="665" spans="1:10">
      <c r="A665" s="72"/>
      <c r="B665" s="72"/>
      <c r="C665" s="72"/>
      <c r="D665" s="72"/>
      <c r="E665" s="72"/>
      <c r="F665" s="72"/>
      <c r="G665" s="72"/>
      <c r="H665" s="72"/>
      <c r="I665" s="72"/>
      <c r="J665" s="72"/>
    </row>
    <row r="666" spans="1:10">
      <c r="A666" s="72"/>
      <c r="B666" s="72"/>
      <c r="C666" s="72"/>
      <c r="D666" s="72"/>
      <c r="E666" s="72"/>
      <c r="F666" s="72"/>
      <c r="G666" s="72"/>
      <c r="H666" s="72"/>
      <c r="I666" s="72"/>
      <c r="J666" s="72"/>
    </row>
    <row r="667" spans="1:10">
      <c r="A667" s="72"/>
      <c r="B667" s="72"/>
      <c r="C667" s="72"/>
      <c r="D667" s="72"/>
      <c r="E667" s="72"/>
      <c r="F667" s="72"/>
      <c r="G667" s="72"/>
      <c r="H667" s="72"/>
      <c r="I667" s="72"/>
      <c r="J667" s="72"/>
    </row>
    <row r="668" spans="1:10">
      <c r="A668" s="72"/>
      <c r="B668" s="72"/>
      <c r="C668" s="72"/>
      <c r="D668" s="72"/>
      <c r="E668" s="72"/>
      <c r="F668" s="72"/>
      <c r="G668" s="72"/>
      <c r="H668" s="72"/>
      <c r="I668" s="72"/>
      <c r="J668" s="72"/>
    </row>
    <row r="669" spans="1:10">
      <c r="A669" s="72"/>
      <c r="B669" s="72"/>
      <c r="C669" s="72"/>
      <c r="D669" s="72"/>
      <c r="E669" s="72"/>
      <c r="F669" s="72"/>
      <c r="G669" s="72"/>
      <c r="H669" s="72"/>
      <c r="I669" s="72"/>
      <c r="J669" s="72"/>
    </row>
    <row r="670" spans="1:10">
      <c r="A670" s="72"/>
      <c r="B670" s="72"/>
      <c r="C670" s="72"/>
      <c r="D670" s="72"/>
      <c r="E670" s="72"/>
      <c r="F670" s="72"/>
      <c r="G670" s="72"/>
      <c r="H670" s="72"/>
      <c r="I670" s="72"/>
      <c r="J670" s="72"/>
    </row>
    <row r="671" spans="1:10">
      <c r="A671" s="72"/>
      <c r="B671" s="72"/>
      <c r="C671" s="72"/>
      <c r="D671" s="72"/>
      <c r="E671" s="72"/>
      <c r="F671" s="72"/>
      <c r="G671" s="72"/>
      <c r="H671" s="72"/>
      <c r="I671" s="72"/>
      <c r="J671" s="72"/>
    </row>
    <row r="672" spans="1:10">
      <c r="A672" s="72"/>
      <c r="B672" s="72"/>
      <c r="C672" s="72"/>
      <c r="D672" s="72"/>
      <c r="E672" s="72"/>
      <c r="F672" s="72"/>
      <c r="G672" s="72"/>
      <c r="H672" s="72"/>
      <c r="I672" s="72"/>
      <c r="J672" s="72"/>
    </row>
    <row r="673" spans="1:10">
      <c r="A673" s="72"/>
      <c r="B673" s="72"/>
      <c r="C673" s="72"/>
      <c r="D673" s="72"/>
      <c r="E673" s="72"/>
      <c r="F673" s="72"/>
      <c r="G673" s="72"/>
      <c r="H673" s="72"/>
      <c r="I673" s="72"/>
      <c r="J673" s="72"/>
    </row>
    <row r="674" spans="1:10">
      <c r="A674" s="72"/>
      <c r="B674" s="72"/>
      <c r="C674" s="72"/>
      <c r="D674" s="72"/>
      <c r="E674" s="72"/>
      <c r="F674" s="72"/>
      <c r="G674" s="72"/>
      <c r="H674" s="72"/>
      <c r="I674" s="72"/>
      <c r="J674" s="72"/>
    </row>
    <row r="675" spans="1:10">
      <c r="A675" s="72"/>
      <c r="B675" s="72"/>
      <c r="C675" s="72"/>
      <c r="D675" s="72"/>
      <c r="E675" s="72"/>
      <c r="F675" s="72"/>
      <c r="G675" s="72"/>
      <c r="H675" s="72"/>
      <c r="I675" s="72"/>
      <c r="J675" s="72"/>
    </row>
    <row r="676" spans="1:10">
      <c r="A676" s="72"/>
      <c r="B676" s="72"/>
      <c r="C676" s="72"/>
      <c r="D676" s="72"/>
      <c r="E676" s="72"/>
      <c r="F676" s="72"/>
      <c r="G676" s="72"/>
      <c r="H676" s="72"/>
      <c r="I676" s="72"/>
      <c r="J676" s="72"/>
    </row>
    <row r="677" spans="1:10">
      <c r="A677" s="72"/>
      <c r="B677" s="72"/>
      <c r="C677" s="72"/>
      <c r="D677" s="72"/>
      <c r="E677" s="72"/>
      <c r="F677" s="72"/>
      <c r="G677" s="72"/>
      <c r="H677" s="72"/>
      <c r="I677" s="72"/>
      <c r="J677" s="72"/>
    </row>
    <row r="678" spans="1:10">
      <c r="A678" s="72"/>
      <c r="B678" s="72"/>
      <c r="C678" s="72"/>
      <c r="D678" s="72"/>
      <c r="E678" s="72"/>
      <c r="F678" s="72"/>
      <c r="G678" s="72"/>
      <c r="H678" s="72"/>
      <c r="I678" s="72"/>
      <c r="J678" s="72"/>
    </row>
    <row r="679" spans="1:10">
      <c r="A679" s="72"/>
      <c r="B679" s="72"/>
      <c r="C679" s="72"/>
      <c r="D679" s="72"/>
      <c r="E679" s="72"/>
      <c r="F679" s="72"/>
      <c r="G679" s="72"/>
      <c r="H679" s="72"/>
      <c r="I679" s="72"/>
      <c r="J679" s="72"/>
    </row>
    <row r="680" spans="1:10">
      <c r="A680" s="72"/>
      <c r="B680" s="72"/>
      <c r="C680" s="72"/>
      <c r="D680" s="72"/>
      <c r="E680" s="72"/>
      <c r="F680" s="72"/>
      <c r="G680" s="72"/>
      <c r="H680" s="72"/>
      <c r="I680" s="72"/>
      <c r="J680" s="72"/>
    </row>
    <row r="681" spans="1:10">
      <c r="A681" s="72"/>
      <c r="B681" s="72"/>
      <c r="C681" s="72"/>
      <c r="D681" s="72"/>
      <c r="E681" s="72"/>
      <c r="F681" s="72"/>
      <c r="G681" s="72"/>
      <c r="H681" s="72"/>
      <c r="I681" s="72"/>
      <c r="J681" s="72"/>
    </row>
    <row r="682" spans="1:10">
      <c r="A682" s="72"/>
      <c r="B682" s="72"/>
      <c r="C682" s="72"/>
      <c r="D682" s="72"/>
      <c r="E682" s="72"/>
      <c r="F682" s="72"/>
      <c r="G682" s="72"/>
      <c r="H682" s="72"/>
      <c r="I682" s="72"/>
      <c r="J682" s="72"/>
    </row>
    <row r="683" spans="1:10">
      <c r="A683" s="72"/>
      <c r="B683" s="72"/>
      <c r="C683" s="72"/>
      <c r="D683" s="72"/>
      <c r="E683" s="72"/>
      <c r="F683" s="72"/>
      <c r="G683" s="72"/>
      <c r="H683" s="72"/>
      <c r="I683" s="72"/>
      <c r="J683" s="72"/>
    </row>
    <row r="684" spans="1:10">
      <c r="A684" s="72"/>
      <c r="B684" s="72"/>
      <c r="C684" s="72"/>
      <c r="D684" s="72"/>
      <c r="E684" s="72"/>
      <c r="F684" s="72"/>
      <c r="G684" s="72"/>
      <c r="H684" s="72"/>
      <c r="I684" s="72"/>
      <c r="J684" s="72"/>
    </row>
    <row r="685" spans="1:10">
      <c r="A685" s="72"/>
      <c r="B685" s="72"/>
      <c r="C685" s="72"/>
      <c r="D685" s="72"/>
      <c r="E685" s="72"/>
      <c r="F685" s="72"/>
      <c r="G685" s="72"/>
      <c r="H685" s="72"/>
      <c r="I685" s="72"/>
      <c r="J685" s="72"/>
    </row>
    <row r="686" spans="1:10">
      <c r="A686" s="72"/>
      <c r="B686" s="72"/>
      <c r="C686" s="72"/>
      <c r="D686" s="72"/>
      <c r="E686" s="72"/>
      <c r="F686" s="72"/>
      <c r="G686" s="72"/>
      <c r="H686" s="72"/>
      <c r="I686" s="72"/>
      <c r="J686" s="72"/>
    </row>
    <row r="687" spans="1:10">
      <c r="A687" s="72"/>
      <c r="B687" s="72"/>
      <c r="C687" s="72"/>
      <c r="D687" s="72"/>
      <c r="E687" s="72"/>
      <c r="F687" s="72"/>
      <c r="G687" s="72"/>
      <c r="H687" s="72"/>
      <c r="I687" s="72"/>
      <c r="J687" s="72"/>
    </row>
    <row r="688" spans="1:10">
      <c r="A688" s="72"/>
      <c r="B688" s="72"/>
      <c r="C688" s="72"/>
      <c r="D688" s="72"/>
      <c r="E688" s="72"/>
      <c r="F688" s="72"/>
      <c r="G688" s="72"/>
      <c r="H688" s="72"/>
      <c r="I688" s="72"/>
      <c r="J688" s="72"/>
    </row>
    <row r="689" spans="1:10">
      <c r="A689" s="72"/>
      <c r="B689" s="72"/>
      <c r="C689" s="72"/>
      <c r="D689" s="72"/>
      <c r="E689" s="72"/>
      <c r="F689" s="72"/>
      <c r="G689" s="72"/>
      <c r="H689" s="72"/>
      <c r="I689" s="72"/>
      <c r="J689" s="72"/>
    </row>
    <row r="690" spans="1:10">
      <c r="A690" s="72"/>
      <c r="B690" s="72"/>
      <c r="C690" s="72"/>
      <c r="D690" s="72"/>
      <c r="E690" s="72"/>
      <c r="F690" s="72"/>
      <c r="G690" s="72"/>
      <c r="H690" s="72"/>
      <c r="I690" s="72"/>
      <c r="J690" s="72"/>
    </row>
    <row r="691" spans="1:10">
      <c r="A691" s="72"/>
      <c r="B691" s="72"/>
      <c r="C691" s="72"/>
      <c r="D691" s="72"/>
      <c r="E691" s="72"/>
      <c r="F691" s="72"/>
      <c r="G691" s="72"/>
      <c r="H691" s="72"/>
      <c r="I691" s="72"/>
      <c r="J691" s="72"/>
    </row>
    <row r="692" spans="1:10">
      <c r="A692" s="72"/>
      <c r="B692" s="72"/>
      <c r="C692" s="72"/>
      <c r="D692" s="72"/>
      <c r="E692" s="72"/>
      <c r="F692" s="72"/>
      <c r="G692" s="72"/>
      <c r="H692" s="72"/>
      <c r="I692" s="72"/>
      <c r="J692" s="72"/>
    </row>
    <row r="693" spans="1:10">
      <c r="A693" s="72"/>
      <c r="B693" s="72"/>
      <c r="C693" s="72"/>
      <c r="D693" s="72"/>
      <c r="E693" s="72"/>
      <c r="F693" s="72"/>
      <c r="G693" s="72"/>
      <c r="H693" s="72"/>
      <c r="I693" s="72"/>
      <c r="J693" s="72"/>
    </row>
    <row r="694" spans="1:10">
      <c r="A694" s="72"/>
      <c r="B694" s="72"/>
      <c r="C694" s="72"/>
      <c r="D694" s="72"/>
      <c r="E694" s="72"/>
      <c r="F694" s="72"/>
      <c r="G694" s="72"/>
      <c r="H694" s="72"/>
      <c r="I694" s="72"/>
      <c r="J694" s="72"/>
    </row>
    <row r="695" spans="1:10">
      <c r="A695" s="72"/>
      <c r="B695" s="72"/>
      <c r="C695" s="72"/>
      <c r="D695" s="72"/>
      <c r="E695" s="72"/>
      <c r="F695" s="72"/>
      <c r="G695" s="72"/>
      <c r="H695" s="72"/>
      <c r="I695" s="72"/>
      <c r="J695" s="72"/>
    </row>
    <row r="696" spans="1:10">
      <c r="A696" s="72"/>
      <c r="B696" s="72"/>
      <c r="C696" s="72"/>
      <c r="D696" s="72"/>
      <c r="E696" s="72"/>
      <c r="F696" s="72"/>
      <c r="G696" s="72"/>
      <c r="H696" s="72"/>
      <c r="I696" s="72"/>
      <c r="J696" s="72"/>
    </row>
    <row r="697" spans="1:10">
      <c r="A697" s="72"/>
      <c r="B697" s="72"/>
      <c r="C697" s="72"/>
      <c r="D697" s="72"/>
      <c r="E697" s="72"/>
      <c r="F697" s="72"/>
      <c r="G697" s="72"/>
      <c r="H697" s="72"/>
      <c r="I697" s="72"/>
      <c r="J697" s="72"/>
    </row>
    <row r="698" spans="1:10">
      <c r="A698" s="72"/>
      <c r="B698" s="72"/>
      <c r="C698" s="72"/>
      <c r="D698" s="72"/>
      <c r="E698" s="72"/>
      <c r="F698" s="72"/>
      <c r="G698" s="72"/>
      <c r="H698" s="72"/>
      <c r="I698" s="72"/>
      <c r="J698" s="72"/>
    </row>
    <row r="699" spans="1:10">
      <c r="A699" s="72"/>
      <c r="B699" s="72"/>
      <c r="C699" s="72"/>
      <c r="D699" s="72"/>
      <c r="E699" s="72"/>
      <c r="F699" s="72"/>
      <c r="G699" s="72"/>
      <c r="H699" s="72"/>
      <c r="I699" s="72"/>
      <c r="J699" s="72"/>
    </row>
    <row r="700" spans="1:10">
      <c r="A700" s="72"/>
      <c r="B700" s="72"/>
      <c r="C700" s="72"/>
      <c r="D700" s="72"/>
      <c r="E700" s="72"/>
      <c r="F700" s="72"/>
      <c r="G700" s="72"/>
      <c r="H700" s="72"/>
      <c r="I700" s="72"/>
      <c r="J700" s="72"/>
    </row>
    <row r="701" spans="1:10">
      <c r="A701" s="72"/>
      <c r="B701" s="72"/>
      <c r="C701" s="72"/>
      <c r="D701" s="72"/>
      <c r="E701" s="72"/>
      <c r="F701" s="72"/>
      <c r="G701" s="72"/>
      <c r="H701" s="72"/>
      <c r="I701" s="72"/>
      <c r="J701" s="72"/>
    </row>
    <row r="702" spans="1:10">
      <c r="A702" s="72"/>
      <c r="B702" s="72"/>
      <c r="C702" s="72"/>
      <c r="D702" s="72"/>
      <c r="E702" s="72"/>
      <c r="F702" s="72"/>
      <c r="G702" s="72"/>
      <c r="H702" s="72"/>
      <c r="I702" s="72"/>
      <c r="J702" s="72"/>
    </row>
    <row r="703" spans="1:10">
      <c r="A703" s="72"/>
      <c r="B703" s="72"/>
      <c r="C703" s="72"/>
      <c r="D703" s="72"/>
      <c r="E703" s="72"/>
      <c r="F703" s="72"/>
      <c r="G703" s="72"/>
      <c r="H703" s="72"/>
      <c r="I703" s="72"/>
      <c r="J703" s="72"/>
    </row>
    <row r="704" spans="1:10">
      <c r="A704" s="72"/>
      <c r="B704" s="72"/>
      <c r="C704" s="72"/>
      <c r="D704" s="72"/>
      <c r="E704" s="72"/>
      <c r="F704" s="72"/>
      <c r="G704" s="72"/>
      <c r="H704" s="72"/>
      <c r="I704" s="72"/>
      <c r="J704" s="72"/>
    </row>
    <row r="705" spans="1:10">
      <c r="A705" s="72"/>
      <c r="B705" s="72"/>
      <c r="C705" s="72"/>
      <c r="D705" s="72"/>
      <c r="E705" s="72"/>
      <c r="F705" s="72"/>
      <c r="G705" s="72"/>
      <c r="H705" s="72"/>
      <c r="I705" s="72"/>
      <c r="J705" s="72"/>
    </row>
    <row r="706" spans="1:10">
      <c r="A706" s="72"/>
      <c r="B706" s="72"/>
      <c r="C706" s="72"/>
      <c r="D706" s="72"/>
      <c r="E706" s="72"/>
      <c r="F706" s="72"/>
      <c r="G706" s="72"/>
      <c r="H706" s="72"/>
      <c r="I706" s="72"/>
      <c r="J706" s="72"/>
    </row>
    <row r="707" spans="1:10">
      <c r="A707" s="72"/>
      <c r="B707" s="72"/>
      <c r="C707" s="72"/>
      <c r="D707" s="72"/>
      <c r="E707" s="72"/>
      <c r="F707" s="72"/>
      <c r="G707" s="72"/>
      <c r="H707" s="72"/>
      <c r="I707" s="72"/>
      <c r="J707" s="72"/>
    </row>
    <row r="708" spans="1:10">
      <c r="A708" s="72"/>
      <c r="B708" s="72"/>
      <c r="C708" s="72"/>
      <c r="D708" s="72"/>
      <c r="E708" s="72"/>
      <c r="F708" s="72"/>
      <c r="G708" s="72"/>
      <c r="H708" s="72"/>
      <c r="I708" s="72"/>
      <c r="J708" s="72"/>
    </row>
    <row r="709" spans="1:10">
      <c r="A709" s="72"/>
      <c r="B709" s="72"/>
      <c r="C709" s="72"/>
      <c r="D709" s="72"/>
      <c r="E709" s="72"/>
      <c r="F709" s="72"/>
      <c r="G709" s="72"/>
      <c r="H709" s="72"/>
      <c r="I709" s="72"/>
      <c r="J709" s="72"/>
    </row>
    <row r="710" spans="1:10">
      <c r="A710" s="72"/>
      <c r="B710" s="72"/>
      <c r="C710" s="72"/>
      <c r="D710" s="72"/>
      <c r="E710" s="72"/>
      <c r="F710" s="72"/>
      <c r="G710" s="72"/>
      <c r="H710" s="72"/>
      <c r="I710" s="72"/>
      <c r="J710" s="72"/>
    </row>
    <row r="711" spans="1:10">
      <c r="A711" s="72"/>
      <c r="B711" s="72"/>
      <c r="C711" s="72"/>
      <c r="D711" s="72"/>
      <c r="E711" s="72"/>
      <c r="F711" s="72"/>
      <c r="G711" s="72"/>
      <c r="H711" s="72"/>
      <c r="I711" s="72"/>
      <c r="J711" s="72"/>
    </row>
    <row r="712" spans="1:10">
      <c r="A712" s="72"/>
      <c r="B712" s="72"/>
      <c r="C712" s="72"/>
      <c r="D712" s="72"/>
      <c r="E712" s="72"/>
      <c r="F712" s="72"/>
      <c r="G712" s="72"/>
      <c r="H712" s="72"/>
      <c r="I712" s="72"/>
      <c r="J712" s="72"/>
    </row>
    <row r="713" spans="1:10">
      <c r="A713" s="72"/>
      <c r="B713" s="72"/>
      <c r="C713" s="72"/>
      <c r="D713" s="72"/>
      <c r="E713" s="72"/>
      <c r="F713" s="72"/>
      <c r="G713" s="72"/>
      <c r="H713" s="72"/>
      <c r="I713" s="72"/>
      <c r="J713" s="72"/>
    </row>
    <row r="714" spans="1:10">
      <c r="A714" s="72"/>
      <c r="B714" s="72"/>
      <c r="C714" s="72"/>
      <c r="D714" s="72"/>
      <c r="E714" s="72"/>
      <c r="F714" s="72"/>
      <c r="G714" s="72"/>
      <c r="H714" s="72"/>
      <c r="I714" s="72"/>
      <c r="J714" s="72"/>
    </row>
    <row r="715" spans="1:10">
      <c r="A715" s="72"/>
      <c r="B715" s="72"/>
      <c r="C715" s="72"/>
      <c r="D715" s="72"/>
      <c r="E715" s="72"/>
      <c r="F715" s="72"/>
      <c r="G715" s="72"/>
      <c r="H715" s="72"/>
      <c r="I715" s="72"/>
      <c r="J715" s="72"/>
    </row>
    <row r="716" spans="1:10">
      <c r="A716" s="72"/>
      <c r="B716" s="72"/>
      <c r="C716" s="72"/>
      <c r="D716" s="72"/>
      <c r="E716" s="72"/>
      <c r="F716" s="72"/>
      <c r="G716" s="72"/>
      <c r="H716" s="72"/>
      <c r="I716" s="72"/>
      <c r="J716" s="72"/>
    </row>
    <row r="717" spans="1:10">
      <c r="A717" s="72"/>
      <c r="B717" s="72"/>
      <c r="C717" s="72"/>
      <c r="D717" s="72"/>
      <c r="E717" s="72"/>
      <c r="F717" s="72"/>
      <c r="G717" s="72"/>
      <c r="H717" s="72"/>
      <c r="I717" s="72"/>
      <c r="J717" s="72"/>
    </row>
    <row r="718" spans="1:10">
      <c r="A718" s="72"/>
      <c r="B718" s="72"/>
      <c r="C718" s="72"/>
      <c r="D718" s="72"/>
      <c r="E718" s="72"/>
      <c r="F718" s="72"/>
      <c r="G718" s="72"/>
      <c r="H718" s="72"/>
      <c r="I718" s="72"/>
      <c r="J718" s="72"/>
    </row>
    <row r="719" spans="1:10">
      <c r="A719" s="72"/>
      <c r="B719" s="72"/>
      <c r="C719" s="72"/>
      <c r="D719" s="72"/>
      <c r="E719" s="72"/>
      <c r="F719" s="72"/>
      <c r="G719" s="72"/>
      <c r="H719" s="72"/>
      <c r="I719" s="72"/>
      <c r="J719" s="72"/>
    </row>
    <row r="720" spans="1:10">
      <c r="A720" s="72"/>
      <c r="B720" s="72"/>
      <c r="C720" s="72"/>
      <c r="D720" s="72"/>
      <c r="E720" s="72"/>
      <c r="F720" s="72"/>
      <c r="G720" s="72"/>
      <c r="H720" s="72"/>
      <c r="I720" s="72"/>
      <c r="J720" s="72"/>
    </row>
    <row r="721" spans="1:10">
      <c r="A721" s="72"/>
      <c r="B721" s="72"/>
      <c r="C721" s="72"/>
      <c r="D721" s="72"/>
      <c r="E721" s="72"/>
      <c r="F721" s="72"/>
      <c r="G721" s="72"/>
      <c r="H721" s="72"/>
      <c r="I721" s="72"/>
      <c r="J721" s="72"/>
    </row>
    <row r="722" spans="1:10">
      <c r="A722" s="72"/>
      <c r="B722" s="72"/>
      <c r="C722" s="72"/>
      <c r="D722" s="72"/>
      <c r="E722" s="72"/>
      <c r="F722" s="72"/>
      <c r="G722" s="72"/>
      <c r="H722" s="72"/>
      <c r="I722" s="72"/>
      <c r="J722" s="72"/>
    </row>
    <row r="723" spans="1:10">
      <c r="A723" s="72"/>
      <c r="B723" s="72"/>
      <c r="C723" s="72"/>
      <c r="D723" s="72"/>
      <c r="E723" s="72"/>
      <c r="F723" s="72"/>
      <c r="G723" s="72"/>
      <c r="H723" s="72"/>
      <c r="I723" s="72"/>
      <c r="J723" s="72"/>
    </row>
    <row r="724" spans="1:10">
      <c r="A724" s="72"/>
      <c r="B724" s="72"/>
      <c r="C724" s="72"/>
      <c r="D724" s="72"/>
      <c r="E724" s="72"/>
      <c r="F724" s="72"/>
      <c r="G724" s="72"/>
      <c r="H724" s="72"/>
      <c r="I724" s="72"/>
      <c r="J724" s="72"/>
    </row>
    <row r="725" spans="1:10">
      <c r="A725" s="72"/>
      <c r="B725" s="72"/>
      <c r="C725" s="72"/>
      <c r="D725" s="72"/>
      <c r="E725" s="72"/>
      <c r="F725" s="72"/>
      <c r="G725" s="72"/>
      <c r="H725" s="72"/>
      <c r="I725" s="72"/>
      <c r="J725" s="72"/>
    </row>
    <row r="726" spans="1:10">
      <c r="A726" s="72"/>
      <c r="B726" s="72"/>
      <c r="C726" s="72"/>
      <c r="D726" s="72"/>
      <c r="E726" s="72"/>
      <c r="F726" s="72"/>
      <c r="G726" s="72"/>
      <c r="H726" s="72"/>
      <c r="I726" s="72"/>
      <c r="J726" s="72"/>
    </row>
    <row r="727" spans="1:10">
      <c r="A727" s="72"/>
      <c r="B727" s="72"/>
      <c r="C727" s="72"/>
      <c r="D727" s="72"/>
      <c r="E727" s="72"/>
      <c r="F727" s="72"/>
      <c r="G727" s="72"/>
      <c r="H727" s="72"/>
      <c r="I727" s="72"/>
      <c r="J727" s="72"/>
    </row>
    <row r="728" spans="1:10">
      <c r="A728" s="72"/>
      <c r="B728" s="72"/>
      <c r="C728" s="72"/>
      <c r="D728" s="72"/>
      <c r="E728" s="72"/>
      <c r="F728" s="72"/>
      <c r="G728" s="72"/>
      <c r="H728" s="72"/>
      <c r="I728" s="72"/>
      <c r="J728" s="72"/>
    </row>
    <row r="729" spans="1:10">
      <c r="A729" s="72"/>
      <c r="B729" s="72"/>
      <c r="C729" s="72"/>
      <c r="D729" s="72"/>
      <c r="E729" s="72"/>
      <c r="F729" s="72"/>
      <c r="G729" s="72"/>
      <c r="H729" s="72"/>
      <c r="I729" s="72"/>
      <c r="J729" s="72"/>
    </row>
    <row r="730" spans="1:10">
      <c r="A730" s="72"/>
      <c r="B730" s="72"/>
      <c r="C730" s="72"/>
      <c r="D730" s="72"/>
      <c r="E730" s="72"/>
      <c r="F730" s="72"/>
      <c r="G730" s="72"/>
      <c r="H730" s="72"/>
      <c r="I730" s="72"/>
      <c r="J730" s="72"/>
    </row>
    <row r="731" spans="1:10">
      <c r="A731" s="72"/>
      <c r="B731" s="72"/>
      <c r="C731" s="72"/>
      <c r="D731" s="72"/>
      <c r="E731" s="72"/>
      <c r="F731" s="72"/>
      <c r="G731" s="72"/>
      <c r="H731" s="72"/>
      <c r="I731" s="72"/>
      <c r="J731" s="72"/>
    </row>
    <row r="732" spans="1:10">
      <c r="A732" s="72"/>
      <c r="B732" s="72"/>
      <c r="C732" s="72"/>
      <c r="D732" s="72"/>
      <c r="E732" s="72"/>
      <c r="F732" s="72"/>
      <c r="G732" s="72"/>
      <c r="H732" s="72"/>
      <c r="I732" s="72"/>
      <c r="J732" s="72"/>
    </row>
    <row r="733" spans="1:10">
      <c r="A733" s="72"/>
      <c r="B733" s="72"/>
      <c r="C733" s="72"/>
      <c r="D733" s="72"/>
      <c r="E733" s="72"/>
      <c r="F733" s="72"/>
      <c r="G733" s="72"/>
      <c r="H733" s="72"/>
      <c r="I733" s="72"/>
      <c r="J733" s="72"/>
    </row>
    <row r="734" spans="1:10">
      <c r="A734" s="72"/>
      <c r="B734" s="72"/>
      <c r="C734" s="72"/>
      <c r="D734" s="72"/>
      <c r="E734" s="72"/>
      <c r="F734" s="72"/>
      <c r="G734" s="72"/>
      <c r="H734" s="72"/>
      <c r="I734" s="72"/>
      <c r="J734" s="72"/>
    </row>
    <row r="735" spans="1:10">
      <c r="A735" s="72"/>
      <c r="B735" s="72"/>
      <c r="C735" s="72"/>
      <c r="D735" s="72"/>
      <c r="E735" s="72"/>
      <c r="F735" s="72"/>
      <c r="G735" s="72"/>
      <c r="H735" s="72"/>
      <c r="I735" s="72"/>
      <c r="J735" s="72"/>
    </row>
    <row r="736" spans="1:10">
      <c r="A736" s="72"/>
      <c r="B736" s="72"/>
      <c r="C736" s="72"/>
      <c r="D736" s="72"/>
      <c r="E736" s="72"/>
      <c r="F736" s="72"/>
      <c r="G736" s="72"/>
      <c r="H736" s="72"/>
      <c r="I736" s="72"/>
      <c r="J736" s="72"/>
    </row>
    <row r="737" spans="1:10">
      <c r="A737" s="72"/>
      <c r="B737" s="72"/>
      <c r="C737" s="72"/>
      <c r="D737" s="72"/>
      <c r="E737" s="72"/>
      <c r="F737" s="72"/>
      <c r="G737" s="72"/>
      <c r="H737" s="72"/>
      <c r="I737" s="72"/>
      <c r="J737" s="72"/>
    </row>
    <row r="738" spans="1:10">
      <c r="A738" s="72"/>
      <c r="B738" s="72"/>
      <c r="C738" s="72"/>
      <c r="D738" s="72"/>
      <c r="E738" s="72"/>
      <c r="F738" s="72"/>
      <c r="G738" s="72"/>
      <c r="H738" s="72"/>
      <c r="I738" s="72"/>
      <c r="J738" s="72"/>
    </row>
    <row r="739" spans="1:10">
      <c r="A739" s="72"/>
      <c r="B739" s="72"/>
      <c r="C739" s="72"/>
      <c r="D739" s="72"/>
      <c r="E739" s="72"/>
      <c r="F739" s="72"/>
      <c r="G739" s="72"/>
      <c r="H739" s="72"/>
      <c r="I739" s="72"/>
      <c r="J739" s="72"/>
    </row>
    <row r="740" spans="1:10">
      <c r="A740" s="72"/>
      <c r="B740" s="72"/>
      <c r="C740" s="72"/>
      <c r="D740" s="72"/>
      <c r="E740" s="72"/>
      <c r="F740" s="72"/>
      <c r="G740" s="72"/>
      <c r="H740" s="72"/>
      <c r="I740" s="72"/>
      <c r="J740" s="72"/>
    </row>
    <row r="741" spans="1:10">
      <c r="A741" s="72"/>
      <c r="B741" s="72"/>
      <c r="C741" s="72"/>
      <c r="D741" s="72"/>
      <c r="E741" s="72"/>
      <c r="F741" s="72"/>
      <c r="G741" s="72"/>
      <c r="H741" s="72"/>
      <c r="I741" s="72"/>
      <c r="J741" s="72"/>
    </row>
    <row r="742" spans="1:10">
      <c r="A742" s="72"/>
      <c r="B742" s="72"/>
      <c r="C742" s="72"/>
      <c r="D742" s="72"/>
      <c r="E742" s="72"/>
      <c r="F742" s="72"/>
      <c r="G742" s="72"/>
      <c r="H742" s="72"/>
      <c r="I742" s="72"/>
      <c r="J742" s="72"/>
    </row>
    <row r="743" spans="1:10">
      <c r="A743" s="72"/>
      <c r="B743" s="72"/>
      <c r="C743" s="72"/>
      <c r="D743" s="72"/>
      <c r="E743" s="72"/>
      <c r="F743" s="72"/>
      <c r="G743" s="72"/>
      <c r="H743" s="72"/>
      <c r="I743" s="72"/>
      <c r="J743" s="72"/>
    </row>
    <row r="744" spans="1:10">
      <c r="A744" s="72"/>
      <c r="B744" s="72"/>
      <c r="C744" s="72"/>
      <c r="D744" s="72"/>
      <c r="E744" s="72"/>
      <c r="F744" s="72"/>
      <c r="G744" s="72"/>
      <c r="H744" s="72"/>
      <c r="I744" s="72"/>
      <c r="J744" s="72"/>
    </row>
    <row r="745" spans="1:10">
      <c r="A745" s="72"/>
      <c r="B745" s="72"/>
      <c r="C745" s="72"/>
      <c r="D745" s="72"/>
      <c r="E745" s="72"/>
      <c r="F745" s="72"/>
      <c r="G745" s="72"/>
      <c r="H745" s="72"/>
      <c r="I745" s="72"/>
      <c r="J745" s="72"/>
    </row>
    <row r="746" spans="1:10">
      <c r="A746" s="72"/>
      <c r="B746" s="72"/>
      <c r="C746" s="72"/>
      <c r="D746" s="72"/>
      <c r="E746" s="72"/>
      <c r="F746" s="72"/>
      <c r="G746" s="72"/>
      <c r="H746" s="72"/>
      <c r="I746" s="72"/>
      <c r="J746" s="72"/>
    </row>
    <row r="747" spans="1:10">
      <c r="A747" s="72"/>
      <c r="B747" s="72"/>
      <c r="C747" s="72"/>
      <c r="D747" s="72"/>
      <c r="E747" s="72"/>
      <c r="F747" s="72"/>
      <c r="G747" s="72"/>
      <c r="H747" s="72"/>
      <c r="I747" s="72"/>
      <c r="J747" s="72"/>
    </row>
    <row r="748" spans="1:10">
      <c r="A748" s="72"/>
      <c r="B748" s="72"/>
      <c r="C748" s="72"/>
      <c r="D748" s="72"/>
      <c r="E748" s="72"/>
      <c r="F748" s="72"/>
      <c r="G748" s="72"/>
      <c r="H748" s="72"/>
      <c r="I748" s="72"/>
      <c r="J748" s="72"/>
    </row>
    <row r="749" spans="1:10">
      <c r="A749" s="72"/>
      <c r="B749" s="72"/>
      <c r="C749" s="72"/>
      <c r="D749" s="72"/>
      <c r="E749" s="72"/>
      <c r="F749" s="72"/>
      <c r="G749" s="72"/>
      <c r="H749" s="72"/>
      <c r="I749" s="72"/>
      <c r="J749" s="72"/>
    </row>
    <row r="750" spans="1:10">
      <c r="A750" s="72"/>
      <c r="B750" s="72"/>
      <c r="C750" s="72"/>
      <c r="D750" s="72"/>
      <c r="E750" s="72"/>
      <c r="F750" s="72"/>
      <c r="G750" s="72"/>
      <c r="H750" s="72"/>
      <c r="I750" s="72"/>
      <c r="J750" s="72"/>
    </row>
    <row r="751" spans="1:10">
      <c r="A751" s="72"/>
      <c r="B751" s="72"/>
      <c r="C751" s="72"/>
      <c r="D751" s="72"/>
      <c r="E751" s="72"/>
      <c r="F751" s="72"/>
      <c r="G751" s="72"/>
      <c r="H751" s="72"/>
      <c r="I751" s="72"/>
      <c r="J751" s="72"/>
    </row>
    <row r="752" spans="1:10">
      <c r="A752" s="72"/>
      <c r="B752" s="72"/>
      <c r="C752" s="72"/>
      <c r="D752" s="72"/>
      <c r="E752" s="72"/>
      <c r="F752" s="72"/>
      <c r="G752" s="72"/>
      <c r="H752" s="72"/>
      <c r="I752" s="72"/>
      <c r="J752" s="72"/>
    </row>
    <row r="753" spans="1:10">
      <c r="A753" s="72"/>
      <c r="B753" s="72"/>
      <c r="C753" s="72"/>
      <c r="D753" s="72"/>
      <c r="E753" s="72"/>
      <c r="F753" s="72"/>
      <c r="G753" s="72"/>
      <c r="H753" s="72"/>
      <c r="I753" s="72"/>
      <c r="J753" s="72"/>
    </row>
    <row r="754" spans="1:10">
      <c r="A754" s="72"/>
      <c r="B754" s="72"/>
      <c r="C754" s="72"/>
      <c r="D754" s="72"/>
      <c r="E754" s="72"/>
      <c r="F754" s="72"/>
      <c r="G754" s="72"/>
      <c r="H754" s="72"/>
      <c r="I754" s="72"/>
      <c r="J754" s="72"/>
    </row>
    <row r="755" spans="1:10">
      <c r="A755" s="72"/>
      <c r="B755" s="72"/>
      <c r="C755" s="72"/>
      <c r="D755" s="72"/>
      <c r="E755" s="72"/>
      <c r="F755" s="72"/>
      <c r="G755" s="72"/>
      <c r="H755" s="72"/>
      <c r="I755" s="72"/>
      <c r="J755" s="72"/>
    </row>
    <row r="756" spans="1:10">
      <c r="A756" s="72"/>
      <c r="B756" s="72"/>
      <c r="C756" s="72"/>
      <c r="D756" s="72"/>
      <c r="E756" s="72"/>
      <c r="F756" s="72"/>
      <c r="G756" s="72"/>
      <c r="H756" s="72"/>
      <c r="I756" s="72"/>
      <c r="J756" s="72"/>
    </row>
    <row r="757" spans="1:10">
      <c r="A757" s="72"/>
      <c r="B757" s="72"/>
      <c r="C757" s="72"/>
      <c r="D757" s="72"/>
      <c r="E757" s="72"/>
      <c r="F757" s="72"/>
      <c r="G757" s="72"/>
      <c r="H757" s="72"/>
      <c r="I757" s="72"/>
      <c r="J757" s="72"/>
    </row>
    <row r="758" spans="1:10">
      <c r="A758" s="72"/>
      <c r="B758" s="72"/>
      <c r="C758" s="72"/>
      <c r="D758" s="72"/>
      <c r="E758" s="72"/>
      <c r="F758" s="72"/>
      <c r="G758" s="72"/>
      <c r="H758" s="72"/>
      <c r="I758" s="72"/>
      <c r="J758" s="72"/>
    </row>
    <row r="759" spans="1:10">
      <c r="A759" s="72"/>
      <c r="B759" s="72"/>
      <c r="C759" s="72"/>
      <c r="D759" s="72"/>
      <c r="E759" s="72"/>
      <c r="F759" s="72"/>
      <c r="G759" s="72"/>
      <c r="H759" s="72"/>
      <c r="I759" s="72"/>
      <c r="J759" s="72"/>
    </row>
    <row r="760" spans="1:10">
      <c r="A760" s="72"/>
      <c r="B760" s="72"/>
      <c r="C760" s="72"/>
      <c r="D760" s="72"/>
      <c r="E760" s="72"/>
      <c r="F760" s="72"/>
      <c r="G760" s="72"/>
      <c r="H760" s="72"/>
      <c r="I760" s="72"/>
      <c r="J760" s="72"/>
    </row>
    <row r="761" spans="1:10">
      <c r="A761" s="72"/>
      <c r="B761" s="72"/>
      <c r="C761" s="72"/>
      <c r="D761" s="72"/>
      <c r="E761" s="72"/>
      <c r="F761" s="72"/>
      <c r="G761" s="72"/>
      <c r="H761" s="72"/>
      <c r="I761" s="72"/>
      <c r="J761" s="72"/>
    </row>
    <row r="762" spans="1:10">
      <c r="A762" s="72"/>
      <c r="B762" s="72"/>
      <c r="C762" s="72"/>
      <c r="D762" s="72"/>
      <c r="E762" s="72"/>
      <c r="F762" s="72"/>
      <c r="G762" s="72"/>
      <c r="H762" s="72"/>
      <c r="I762" s="72"/>
      <c r="J762" s="72"/>
    </row>
    <row r="763" spans="1:10">
      <c r="A763" s="72"/>
      <c r="B763" s="72"/>
      <c r="C763" s="72"/>
      <c r="D763" s="72"/>
      <c r="E763" s="72"/>
      <c r="F763" s="72"/>
      <c r="G763" s="72"/>
      <c r="H763" s="72"/>
      <c r="I763" s="72"/>
      <c r="J763" s="72"/>
    </row>
    <row r="764" spans="1:10">
      <c r="A764" s="72"/>
      <c r="B764" s="72"/>
      <c r="C764" s="72"/>
      <c r="D764" s="72"/>
      <c r="E764" s="72"/>
      <c r="F764" s="72"/>
      <c r="G764" s="72"/>
      <c r="H764" s="72"/>
      <c r="I764" s="72"/>
      <c r="J764" s="72"/>
    </row>
    <row r="765" spans="1:10">
      <c r="A765" s="72"/>
      <c r="B765" s="72"/>
      <c r="C765" s="72"/>
      <c r="D765" s="72"/>
      <c r="E765" s="72"/>
      <c r="F765" s="72"/>
      <c r="G765" s="72"/>
      <c r="H765" s="72"/>
      <c r="I765" s="72"/>
      <c r="J765" s="72"/>
    </row>
    <row r="766" spans="1:10">
      <c r="A766" s="72"/>
      <c r="B766" s="72"/>
      <c r="C766" s="72"/>
      <c r="D766" s="72"/>
      <c r="E766" s="72"/>
      <c r="F766" s="72"/>
      <c r="G766" s="72"/>
      <c r="H766" s="72"/>
      <c r="I766" s="72"/>
      <c r="J766" s="72"/>
    </row>
    <row r="767" spans="1:10">
      <c r="A767" s="72"/>
      <c r="B767" s="72"/>
      <c r="C767" s="72"/>
      <c r="D767" s="72"/>
      <c r="E767" s="72"/>
      <c r="F767" s="72"/>
      <c r="G767" s="72"/>
      <c r="H767" s="72"/>
      <c r="I767" s="72"/>
      <c r="J767" s="72"/>
    </row>
    <row r="768" spans="1:10">
      <c r="A768" s="72"/>
      <c r="B768" s="72"/>
      <c r="C768" s="72"/>
      <c r="D768" s="72"/>
      <c r="E768" s="72"/>
      <c r="F768" s="72"/>
      <c r="G768" s="72"/>
      <c r="H768" s="72"/>
      <c r="I768" s="72"/>
      <c r="J768" s="72"/>
    </row>
    <row r="769" spans="1:10">
      <c r="A769" s="72"/>
      <c r="B769" s="72"/>
      <c r="C769" s="72"/>
      <c r="D769" s="72"/>
      <c r="E769" s="72"/>
      <c r="F769" s="72"/>
      <c r="G769" s="72"/>
      <c r="H769" s="72"/>
      <c r="I769" s="72"/>
      <c r="J769" s="72"/>
    </row>
    <row r="770" spans="1:10">
      <c r="A770" s="72"/>
      <c r="B770" s="72"/>
      <c r="C770" s="72"/>
      <c r="D770" s="72"/>
      <c r="E770" s="72"/>
      <c r="F770" s="72"/>
      <c r="G770" s="72"/>
      <c r="H770" s="72"/>
      <c r="I770" s="72"/>
      <c r="J770" s="72"/>
    </row>
    <row r="771" spans="1:10">
      <c r="A771" s="72"/>
      <c r="B771" s="72"/>
      <c r="C771" s="72"/>
      <c r="D771" s="72"/>
      <c r="E771" s="72"/>
      <c r="F771" s="72"/>
      <c r="G771" s="72"/>
      <c r="H771" s="72"/>
      <c r="I771" s="72"/>
      <c r="J771" s="72"/>
    </row>
    <row r="772" spans="1:10">
      <c r="A772" s="72"/>
      <c r="B772" s="72"/>
      <c r="C772" s="72"/>
      <c r="D772" s="72"/>
      <c r="E772" s="72"/>
      <c r="F772" s="72"/>
      <c r="G772" s="72"/>
      <c r="H772" s="72"/>
      <c r="I772" s="72"/>
      <c r="J772" s="72"/>
    </row>
    <row r="773" spans="1:10">
      <c r="A773" s="72"/>
      <c r="B773" s="72"/>
      <c r="C773" s="72"/>
      <c r="D773" s="72"/>
      <c r="E773" s="72"/>
      <c r="F773" s="72"/>
      <c r="G773" s="72"/>
      <c r="H773" s="72"/>
      <c r="I773" s="72"/>
      <c r="J773" s="72"/>
    </row>
    <row r="774" spans="1:10">
      <c r="A774" s="72"/>
      <c r="B774" s="72"/>
      <c r="C774" s="72"/>
      <c r="D774" s="72"/>
      <c r="E774" s="72"/>
      <c r="F774" s="72"/>
      <c r="G774" s="72"/>
      <c r="H774" s="72"/>
      <c r="I774" s="72"/>
      <c r="J774" s="72"/>
    </row>
    <row r="775" spans="1:10">
      <c r="A775" s="72"/>
      <c r="B775" s="72"/>
      <c r="C775" s="72"/>
      <c r="D775" s="72"/>
      <c r="E775" s="72"/>
      <c r="F775" s="72"/>
      <c r="G775" s="72"/>
      <c r="H775" s="72"/>
      <c r="I775" s="72"/>
      <c r="J775" s="72"/>
    </row>
    <row r="776" spans="1:10">
      <c r="A776" s="72"/>
      <c r="B776" s="72"/>
      <c r="C776" s="72"/>
      <c r="D776" s="72"/>
      <c r="E776" s="72"/>
      <c r="F776" s="72"/>
      <c r="G776" s="72"/>
      <c r="H776" s="72"/>
      <c r="I776" s="72"/>
      <c r="J776" s="72"/>
    </row>
    <row r="777" spans="1:10">
      <c r="A777" s="72"/>
      <c r="B777" s="72"/>
      <c r="C777" s="72"/>
      <c r="D777" s="72"/>
      <c r="E777" s="72"/>
      <c r="F777" s="72"/>
      <c r="G777" s="72"/>
      <c r="H777" s="72"/>
      <c r="I777" s="72"/>
      <c r="J777" s="72"/>
    </row>
    <row r="778" spans="1:10">
      <c r="A778" s="72"/>
      <c r="B778" s="72"/>
      <c r="C778" s="72"/>
      <c r="D778" s="72"/>
      <c r="E778" s="72"/>
      <c r="F778" s="72"/>
      <c r="G778" s="72"/>
      <c r="H778" s="72"/>
      <c r="I778" s="72"/>
      <c r="J778" s="72"/>
    </row>
    <row r="779" spans="1:10">
      <c r="A779" s="72"/>
      <c r="B779" s="72"/>
      <c r="C779" s="72"/>
      <c r="D779" s="72"/>
      <c r="E779" s="72"/>
      <c r="F779" s="72"/>
      <c r="G779" s="72"/>
      <c r="H779" s="72"/>
      <c r="I779" s="72"/>
      <c r="J779" s="72"/>
    </row>
    <row r="780" spans="1:10">
      <c r="A780" s="72"/>
      <c r="B780" s="72"/>
      <c r="C780" s="72"/>
      <c r="D780" s="72"/>
      <c r="E780" s="72"/>
      <c r="F780" s="72"/>
      <c r="G780" s="72"/>
      <c r="H780" s="72"/>
      <c r="I780" s="72"/>
      <c r="J780" s="72"/>
    </row>
    <row r="781" spans="1:10">
      <c r="A781" s="72"/>
      <c r="B781" s="72"/>
      <c r="C781" s="72"/>
      <c r="D781" s="72"/>
      <c r="E781" s="72"/>
      <c r="F781" s="72"/>
      <c r="G781" s="72"/>
      <c r="H781" s="72"/>
      <c r="I781" s="72"/>
      <c r="J781" s="72"/>
    </row>
    <row r="782" spans="1:10">
      <c r="A782" s="72"/>
      <c r="B782" s="72"/>
      <c r="C782" s="72"/>
      <c r="D782" s="72"/>
      <c r="E782" s="72"/>
      <c r="F782" s="72"/>
      <c r="G782" s="72"/>
      <c r="H782" s="72"/>
      <c r="I782" s="72"/>
      <c r="J782" s="72"/>
    </row>
    <row r="783" spans="1:10">
      <c r="A783" s="72"/>
      <c r="B783" s="72"/>
      <c r="C783" s="72"/>
      <c r="D783" s="72"/>
      <c r="E783" s="72"/>
      <c r="F783" s="72"/>
      <c r="G783" s="72"/>
      <c r="H783" s="72"/>
      <c r="I783" s="72"/>
      <c r="J783" s="72"/>
    </row>
    <row r="784" spans="1:10">
      <c r="A784" s="72"/>
      <c r="B784" s="72"/>
      <c r="C784" s="72"/>
      <c r="D784" s="72"/>
      <c r="E784" s="72"/>
      <c r="F784" s="72"/>
      <c r="G784" s="72"/>
      <c r="H784" s="72"/>
      <c r="I784" s="72"/>
      <c r="J784" s="72"/>
    </row>
    <row r="785" spans="1:10">
      <c r="A785" s="72"/>
      <c r="B785" s="72"/>
      <c r="C785" s="72"/>
      <c r="D785" s="72"/>
      <c r="E785" s="72"/>
      <c r="F785" s="72"/>
      <c r="G785" s="72"/>
      <c r="H785" s="72"/>
      <c r="I785" s="72"/>
      <c r="J785" s="72"/>
    </row>
    <row r="786" spans="1:10">
      <c r="A786" s="72"/>
      <c r="B786" s="72"/>
      <c r="C786" s="72"/>
      <c r="D786" s="72"/>
      <c r="E786" s="72"/>
      <c r="F786" s="72"/>
      <c r="G786" s="72"/>
      <c r="H786" s="72"/>
      <c r="I786" s="72"/>
      <c r="J786" s="72"/>
    </row>
    <row r="787" spans="1:10">
      <c r="A787" s="72"/>
      <c r="B787" s="72"/>
      <c r="C787" s="72"/>
      <c r="D787" s="72"/>
      <c r="E787" s="72"/>
      <c r="F787" s="72"/>
      <c r="G787" s="72"/>
      <c r="H787" s="72"/>
      <c r="I787" s="72"/>
      <c r="J787" s="72"/>
    </row>
    <row r="788" spans="1:10">
      <c r="A788" s="72"/>
      <c r="B788" s="72"/>
      <c r="C788" s="72"/>
      <c r="D788" s="72"/>
      <c r="E788" s="72"/>
      <c r="F788" s="72"/>
      <c r="G788" s="72"/>
      <c r="H788" s="72"/>
      <c r="I788" s="72"/>
      <c r="J788" s="72"/>
    </row>
    <row r="789" spans="1:10">
      <c r="A789" s="72"/>
      <c r="B789" s="72"/>
      <c r="C789" s="72"/>
      <c r="D789" s="72"/>
      <c r="E789" s="72"/>
      <c r="F789" s="72"/>
      <c r="G789" s="72"/>
      <c r="H789" s="72"/>
      <c r="I789" s="72"/>
      <c r="J789" s="72"/>
    </row>
    <row r="790" spans="1:10">
      <c r="A790" s="72"/>
      <c r="B790" s="72"/>
      <c r="C790" s="72"/>
      <c r="D790" s="72"/>
      <c r="E790" s="72"/>
      <c r="F790" s="72"/>
      <c r="G790" s="72"/>
      <c r="H790" s="72"/>
      <c r="I790" s="72"/>
      <c r="J790" s="72"/>
    </row>
    <row r="791" spans="1:10">
      <c r="A791" s="72"/>
      <c r="B791" s="72"/>
      <c r="C791" s="72"/>
      <c r="D791" s="72"/>
      <c r="E791" s="72"/>
      <c r="F791" s="72"/>
      <c r="G791" s="72"/>
      <c r="H791" s="72"/>
      <c r="I791" s="72"/>
      <c r="J791" s="72"/>
    </row>
    <row r="792" spans="1:10">
      <c r="A792" s="72"/>
      <c r="B792" s="72"/>
      <c r="C792" s="72"/>
      <c r="D792" s="72"/>
      <c r="E792" s="72"/>
      <c r="F792" s="72"/>
      <c r="G792" s="72"/>
      <c r="H792" s="72"/>
      <c r="I792" s="72"/>
      <c r="J792" s="72"/>
    </row>
    <row r="793" spans="1:10">
      <c r="A793" s="72"/>
      <c r="B793" s="72"/>
      <c r="C793" s="72"/>
      <c r="D793" s="72"/>
      <c r="E793" s="72"/>
      <c r="F793" s="72"/>
      <c r="G793" s="72"/>
      <c r="H793" s="72"/>
      <c r="I793" s="72"/>
      <c r="J793" s="72"/>
    </row>
    <row r="794" spans="1:10">
      <c r="A794" s="72"/>
      <c r="B794" s="72"/>
      <c r="C794" s="72"/>
      <c r="D794" s="72"/>
      <c r="E794" s="72"/>
      <c r="F794" s="72"/>
      <c r="G794" s="72"/>
      <c r="H794" s="72"/>
      <c r="I794" s="72"/>
      <c r="J794" s="72"/>
    </row>
    <row r="795" spans="1:10">
      <c r="A795" s="72"/>
      <c r="B795" s="72"/>
      <c r="C795" s="72"/>
      <c r="D795" s="72"/>
      <c r="E795" s="72"/>
      <c r="F795" s="72"/>
      <c r="G795" s="72"/>
      <c r="H795" s="72"/>
      <c r="I795" s="72"/>
      <c r="J795" s="72"/>
    </row>
    <row r="796" spans="1:10">
      <c r="A796" s="72"/>
      <c r="B796" s="72"/>
      <c r="C796" s="72"/>
      <c r="D796" s="72"/>
      <c r="E796" s="72"/>
      <c r="F796" s="72"/>
      <c r="G796" s="72"/>
      <c r="H796" s="72"/>
      <c r="I796" s="72"/>
      <c r="J796" s="72"/>
    </row>
    <row r="797" spans="1:10">
      <c r="A797" s="72"/>
      <c r="B797" s="72"/>
      <c r="C797" s="72"/>
      <c r="D797" s="72"/>
      <c r="E797" s="72"/>
      <c r="F797" s="72"/>
      <c r="G797" s="72"/>
      <c r="H797" s="72"/>
      <c r="I797" s="72"/>
      <c r="J797" s="72"/>
    </row>
    <row r="798" spans="1:10">
      <c r="A798" s="72"/>
      <c r="B798" s="72"/>
      <c r="C798" s="72"/>
      <c r="D798" s="72"/>
      <c r="E798" s="72"/>
      <c r="F798" s="72"/>
      <c r="G798" s="72"/>
      <c r="H798" s="72"/>
      <c r="I798" s="72"/>
      <c r="J798" s="72"/>
    </row>
    <row r="799" spans="1:10">
      <c r="A799" s="72"/>
      <c r="B799" s="72"/>
      <c r="C799" s="72"/>
      <c r="D799" s="72"/>
      <c r="E799" s="72"/>
      <c r="F799" s="72"/>
      <c r="G799" s="72"/>
      <c r="H799" s="72"/>
      <c r="I799" s="72"/>
      <c r="J799" s="72"/>
    </row>
    <row r="800" spans="1:10">
      <c r="A800" s="72"/>
      <c r="B800" s="72"/>
      <c r="C800" s="72"/>
      <c r="D800" s="72"/>
      <c r="E800" s="72"/>
      <c r="F800" s="72"/>
      <c r="G800" s="72"/>
      <c r="H800" s="72"/>
      <c r="I800" s="72"/>
      <c r="J800" s="72"/>
    </row>
    <row r="801" spans="1:10">
      <c r="A801" s="72"/>
      <c r="B801" s="72"/>
      <c r="C801" s="72"/>
      <c r="D801" s="72"/>
      <c r="E801" s="72"/>
      <c r="F801" s="72"/>
      <c r="G801" s="72"/>
      <c r="H801" s="72"/>
      <c r="I801" s="72"/>
      <c r="J801" s="72"/>
    </row>
    <row r="802" spans="1:10">
      <c r="A802" s="72"/>
      <c r="B802" s="72"/>
      <c r="C802" s="72"/>
      <c r="D802" s="72"/>
      <c r="E802" s="72"/>
      <c r="F802" s="72"/>
      <c r="G802" s="72"/>
      <c r="H802" s="72"/>
      <c r="I802" s="72"/>
      <c r="J802" s="72"/>
    </row>
    <row r="803" spans="1:10">
      <c r="A803" s="72"/>
      <c r="B803" s="72"/>
      <c r="C803" s="72"/>
      <c r="D803" s="72"/>
      <c r="E803" s="72"/>
      <c r="F803" s="72"/>
      <c r="G803" s="72"/>
      <c r="H803" s="72"/>
      <c r="I803" s="72"/>
      <c r="J803" s="72"/>
    </row>
    <row r="804" spans="1:10">
      <c r="A804" s="72"/>
      <c r="B804" s="72"/>
      <c r="C804" s="72"/>
      <c r="D804" s="72"/>
      <c r="E804" s="72"/>
      <c r="F804" s="72"/>
      <c r="G804" s="72"/>
      <c r="H804" s="72"/>
      <c r="I804" s="72"/>
      <c r="J804" s="72"/>
    </row>
    <row r="805" spans="1:10">
      <c r="A805" s="72"/>
      <c r="B805" s="72"/>
      <c r="C805" s="72"/>
      <c r="D805" s="72"/>
      <c r="E805" s="72"/>
      <c r="F805" s="72"/>
      <c r="G805" s="72"/>
      <c r="H805" s="72"/>
      <c r="I805" s="72"/>
      <c r="J805" s="72"/>
    </row>
    <row r="806" spans="1:10">
      <c r="A806" s="72"/>
      <c r="B806" s="72"/>
      <c r="C806" s="72"/>
      <c r="D806" s="72"/>
      <c r="E806" s="72"/>
      <c r="F806" s="72"/>
      <c r="G806" s="72"/>
      <c r="H806" s="72"/>
      <c r="I806" s="72"/>
      <c r="J806" s="72"/>
    </row>
    <row r="807" spans="1:10">
      <c r="A807" s="72"/>
      <c r="B807" s="72"/>
      <c r="C807" s="72"/>
      <c r="D807" s="72"/>
      <c r="E807" s="72"/>
      <c r="F807" s="72"/>
      <c r="G807" s="72"/>
      <c r="H807" s="72"/>
      <c r="I807" s="72"/>
      <c r="J807" s="72"/>
    </row>
    <row r="808" spans="1:10">
      <c r="A808" s="72"/>
      <c r="B808" s="72"/>
      <c r="C808" s="72"/>
      <c r="D808" s="72"/>
      <c r="E808" s="72"/>
      <c r="F808" s="72"/>
      <c r="G808" s="72"/>
      <c r="H808" s="72"/>
      <c r="I808" s="72"/>
      <c r="J808" s="72"/>
    </row>
    <row r="809" spans="1:10">
      <c r="A809" s="72"/>
      <c r="B809" s="72"/>
      <c r="C809" s="72"/>
      <c r="D809" s="72"/>
      <c r="E809" s="72"/>
      <c r="F809" s="72"/>
      <c r="G809" s="72"/>
      <c r="H809" s="72"/>
      <c r="I809" s="72"/>
      <c r="J809" s="72"/>
    </row>
    <row r="810" spans="1:10">
      <c r="A810" s="72"/>
      <c r="B810" s="72"/>
      <c r="C810" s="72"/>
      <c r="D810" s="72"/>
      <c r="E810" s="72"/>
      <c r="F810" s="72"/>
      <c r="G810" s="72"/>
      <c r="H810" s="72"/>
      <c r="I810" s="72"/>
      <c r="J810" s="72"/>
    </row>
    <row r="811" spans="1:10">
      <c r="A811" s="72"/>
      <c r="B811" s="72"/>
      <c r="C811" s="72"/>
      <c r="D811" s="72"/>
      <c r="E811" s="72"/>
      <c r="F811" s="72"/>
      <c r="G811" s="72"/>
      <c r="H811" s="72"/>
      <c r="I811" s="72"/>
      <c r="J811" s="72"/>
    </row>
    <row r="812" spans="1:10">
      <c r="A812" s="72"/>
      <c r="B812" s="72"/>
      <c r="C812" s="72"/>
      <c r="D812" s="72"/>
      <c r="E812" s="72"/>
      <c r="F812" s="72"/>
      <c r="G812" s="72"/>
      <c r="H812" s="72"/>
      <c r="I812" s="72"/>
      <c r="J812" s="72"/>
    </row>
    <row r="813" spans="1:10">
      <c r="A813" s="72"/>
      <c r="B813" s="72"/>
      <c r="C813" s="72"/>
      <c r="D813" s="72"/>
      <c r="E813" s="72"/>
      <c r="F813" s="72"/>
      <c r="G813" s="72"/>
      <c r="H813" s="72"/>
      <c r="I813" s="72"/>
      <c r="J813" s="72"/>
    </row>
    <row r="814" spans="1:10">
      <c r="A814" s="72"/>
      <c r="B814" s="72"/>
      <c r="C814" s="72"/>
      <c r="D814" s="72"/>
      <c r="E814" s="72"/>
      <c r="F814" s="72"/>
      <c r="G814" s="72"/>
      <c r="H814" s="72"/>
      <c r="I814" s="72"/>
      <c r="J814" s="72"/>
    </row>
    <row r="815" spans="1:10">
      <c r="A815" s="72"/>
      <c r="B815" s="72"/>
      <c r="C815" s="72"/>
      <c r="D815" s="72"/>
      <c r="E815" s="72"/>
      <c r="F815" s="72"/>
      <c r="G815" s="72"/>
      <c r="H815" s="72"/>
      <c r="I815" s="72"/>
      <c r="J815" s="72"/>
    </row>
    <row r="816" spans="1:10">
      <c r="A816" s="72"/>
      <c r="B816" s="72"/>
      <c r="C816" s="72"/>
      <c r="D816" s="72"/>
      <c r="E816" s="72"/>
      <c r="F816" s="72"/>
      <c r="G816" s="72"/>
      <c r="H816" s="72"/>
      <c r="I816" s="72"/>
      <c r="J816" s="72"/>
    </row>
    <row r="817" spans="1:10">
      <c r="A817" s="72"/>
      <c r="B817" s="72"/>
      <c r="C817" s="72"/>
      <c r="D817" s="72"/>
      <c r="E817" s="72"/>
      <c r="F817" s="72"/>
      <c r="G817" s="72"/>
      <c r="H817" s="72"/>
      <c r="I817" s="72"/>
      <c r="J817" s="72"/>
    </row>
    <row r="818" spans="1:10">
      <c r="A818" s="72"/>
      <c r="B818" s="72"/>
      <c r="C818" s="72"/>
      <c r="D818" s="72"/>
      <c r="E818" s="72"/>
      <c r="F818" s="72"/>
      <c r="G818" s="72"/>
      <c r="H818" s="72"/>
      <c r="I818" s="72"/>
      <c r="J818" s="72"/>
    </row>
    <row r="819" spans="1:10">
      <c r="A819" s="72"/>
      <c r="B819" s="72"/>
      <c r="C819" s="72"/>
      <c r="D819" s="72"/>
      <c r="E819" s="72"/>
      <c r="F819" s="72"/>
      <c r="G819" s="72"/>
      <c r="H819" s="72"/>
      <c r="I819" s="72"/>
      <c r="J819" s="72"/>
    </row>
    <row r="820" spans="1:10">
      <c r="A820" s="72"/>
      <c r="B820" s="72"/>
      <c r="C820" s="72"/>
      <c r="D820" s="72"/>
      <c r="E820" s="72"/>
      <c r="F820" s="72"/>
      <c r="G820" s="72"/>
      <c r="H820" s="72"/>
      <c r="I820" s="72"/>
      <c r="J820" s="72"/>
    </row>
    <row r="821" spans="1:10">
      <c r="A821" s="72"/>
      <c r="B821" s="72"/>
      <c r="C821" s="72"/>
      <c r="D821" s="72"/>
      <c r="E821" s="72"/>
      <c r="F821" s="72"/>
      <c r="G821" s="72"/>
      <c r="H821" s="72"/>
      <c r="I821" s="72"/>
      <c r="J821" s="72"/>
    </row>
    <row r="822" spans="1:10">
      <c r="A822" s="72"/>
      <c r="B822" s="72"/>
      <c r="C822" s="72"/>
      <c r="D822" s="72"/>
      <c r="E822" s="72"/>
      <c r="F822" s="72"/>
      <c r="G822" s="72"/>
      <c r="H822" s="72"/>
      <c r="I822" s="72"/>
      <c r="J822" s="72"/>
    </row>
    <row r="823" spans="1:10">
      <c r="A823" s="72"/>
      <c r="B823" s="72"/>
      <c r="C823" s="72"/>
      <c r="D823" s="72"/>
      <c r="E823" s="72"/>
      <c r="F823" s="72"/>
      <c r="G823" s="72"/>
      <c r="H823" s="72"/>
      <c r="I823" s="72"/>
      <c r="J823" s="72"/>
    </row>
    <row r="824" spans="1:10">
      <c r="A824" s="72"/>
      <c r="B824" s="72"/>
      <c r="C824" s="72"/>
      <c r="D824" s="72"/>
      <c r="E824" s="72"/>
      <c r="F824" s="72"/>
      <c r="G824" s="72"/>
      <c r="H824" s="72"/>
      <c r="I824" s="72"/>
      <c r="J824" s="72"/>
    </row>
    <row r="825" spans="1:10">
      <c r="A825" s="72"/>
      <c r="B825" s="72"/>
      <c r="C825" s="72"/>
      <c r="D825" s="72"/>
      <c r="E825" s="72"/>
      <c r="F825" s="72"/>
      <c r="G825" s="72"/>
      <c r="H825" s="72"/>
      <c r="I825" s="72"/>
      <c r="J825" s="72"/>
    </row>
    <row r="826" spans="1:10">
      <c r="A826" s="72"/>
      <c r="B826" s="72"/>
      <c r="C826" s="72"/>
      <c r="D826" s="72"/>
      <c r="E826" s="72"/>
      <c r="F826" s="72"/>
      <c r="G826" s="72"/>
      <c r="H826" s="72"/>
      <c r="I826" s="72"/>
      <c r="J826" s="72"/>
    </row>
    <row r="827" spans="1:10">
      <c r="A827" s="72"/>
      <c r="B827" s="72"/>
      <c r="C827" s="72"/>
      <c r="D827" s="72"/>
      <c r="E827" s="72"/>
      <c r="F827" s="72"/>
      <c r="G827" s="72"/>
      <c r="H827" s="72"/>
      <c r="I827" s="72"/>
      <c r="J827" s="72"/>
    </row>
    <row r="828" spans="1:10">
      <c r="A828" s="72"/>
      <c r="B828" s="72"/>
      <c r="C828" s="72"/>
      <c r="D828" s="72"/>
      <c r="E828" s="72"/>
      <c r="F828" s="72"/>
      <c r="G828" s="72"/>
      <c r="H828" s="72"/>
      <c r="I828" s="72"/>
      <c r="J828" s="72"/>
    </row>
    <row r="829" spans="1:10">
      <c r="A829" s="72"/>
      <c r="B829" s="72"/>
      <c r="C829" s="72"/>
      <c r="D829" s="72"/>
      <c r="E829" s="72"/>
      <c r="F829" s="72"/>
      <c r="G829" s="72"/>
      <c r="H829" s="72"/>
      <c r="I829" s="72"/>
      <c r="J829" s="72"/>
    </row>
    <row r="830" spans="1:10">
      <c r="A830" s="72"/>
      <c r="B830" s="72"/>
      <c r="C830" s="72"/>
      <c r="D830" s="72"/>
      <c r="E830" s="72"/>
      <c r="F830" s="72"/>
      <c r="G830" s="72"/>
      <c r="H830" s="72"/>
      <c r="I830" s="72"/>
      <c r="J830" s="72"/>
    </row>
    <row r="831" spans="1:10">
      <c r="A831" s="72"/>
      <c r="B831" s="72"/>
      <c r="C831" s="72"/>
      <c r="D831" s="72"/>
      <c r="E831" s="72"/>
      <c r="F831" s="72"/>
      <c r="G831" s="72"/>
      <c r="H831" s="72"/>
      <c r="I831" s="72"/>
      <c r="J831" s="72"/>
    </row>
    <row r="832" spans="1:10">
      <c r="A832" s="72"/>
      <c r="B832" s="72"/>
      <c r="C832" s="72"/>
      <c r="D832" s="72"/>
      <c r="E832" s="72"/>
      <c r="F832" s="72"/>
      <c r="G832" s="72"/>
      <c r="H832" s="72"/>
      <c r="I832" s="72"/>
      <c r="J832" s="72"/>
    </row>
    <row r="833" spans="1:10">
      <c r="A833" s="72"/>
      <c r="B833" s="72"/>
      <c r="C833" s="72"/>
      <c r="D833" s="72"/>
      <c r="E833" s="72"/>
      <c r="F833" s="72"/>
      <c r="G833" s="72"/>
      <c r="H833" s="72"/>
      <c r="I833" s="72"/>
      <c r="J833" s="72"/>
    </row>
    <row r="834" spans="1:10">
      <c r="A834" s="72"/>
      <c r="B834" s="72"/>
      <c r="C834" s="72"/>
      <c r="D834" s="72"/>
      <c r="E834" s="72"/>
      <c r="F834" s="72"/>
      <c r="G834" s="72"/>
      <c r="H834" s="72"/>
      <c r="I834" s="72"/>
      <c r="J834" s="72"/>
    </row>
    <row r="835" spans="1:10">
      <c r="A835" s="72"/>
      <c r="B835" s="72"/>
      <c r="C835" s="72"/>
      <c r="D835" s="72"/>
      <c r="E835" s="72"/>
      <c r="F835" s="72"/>
      <c r="G835" s="72"/>
      <c r="H835" s="72"/>
      <c r="I835" s="72"/>
      <c r="J835" s="72"/>
    </row>
    <row r="836" spans="1:10">
      <c r="A836" s="72"/>
      <c r="B836" s="72"/>
      <c r="C836" s="72"/>
      <c r="D836" s="72"/>
      <c r="E836" s="72"/>
      <c r="F836" s="72"/>
      <c r="G836" s="72"/>
      <c r="H836" s="72"/>
      <c r="I836" s="72"/>
      <c r="J836" s="72"/>
    </row>
    <row r="837" spans="1:10">
      <c r="A837" s="72"/>
      <c r="B837" s="72"/>
      <c r="C837" s="72"/>
      <c r="D837" s="72"/>
      <c r="E837" s="72"/>
      <c r="F837" s="72"/>
      <c r="G837" s="72"/>
      <c r="H837" s="72"/>
      <c r="I837" s="72"/>
      <c r="J837" s="72"/>
    </row>
    <row r="838" spans="1:10">
      <c r="A838" s="72"/>
      <c r="B838" s="72"/>
      <c r="C838" s="72"/>
      <c r="D838" s="72"/>
      <c r="E838" s="72"/>
      <c r="F838" s="72"/>
      <c r="G838" s="72"/>
      <c r="H838" s="72"/>
      <c r="I838" s="72"/>
      <c r="J838" s="72"/>
    </row>
    <row r="839" spans="1:10">
      <c r="A839" s="72"/>
      <c r="B839" s="72"/>
      <c r="C839" s="72"/>
      <c r="D839" s="72"/>
      <c r="E839" s="72"/>
      <c r="F839" s="72"/>
      <c r="G839" s="72"/>
      <c r="H839" s="72"/>
      <c r="I839" s="72"/>
      <c r="J839" s="72"/>
    </row>
    <row r="840" spans="1:10">
      <c r="A840" s="72"/>
      <c r="B840" s="72"/>
      <c r="C840" s="72"/>
      <c r="D840" s="72"/>
      <c r="E840" s="72"/>
      <c r="F840" s="72"/>
      <c r="G840" s="72"/>
      <c r="H840" s="72"/>
      <c r="I840" s="72"/>
      <c r="J840" s="72"/>
    </row>
    <row r="841" spans="1:10">
      <c r="A841" s="72"/>
      <c r="B841" s="72"/>
      <c r="C841" s="72"/>
      <c r="D841" s="72"/>
      <c r="E841" s="72"/>
      <c r="F841" s="72"/>
      <c r="G841" s="72"/>
      <c r="H841" s="72"/>
      <c r="I841" s="72"/>
      <c r="J841" s="72"/>
    </row>
    <row r="842" spans="1:10">
      <c r="A842" s="72"/>
      <c r="B842" s="72"/>
      <c r="C842" s="72"/>
      <c r="D842" s="72"/>
      <c r="E842" s="72"/>
      <c r="F842" s="72"/>
      <c r="G842" s="72"/>
      <c r="H842" s="72"/>
      <c r="I842" s="72"/>
      <c r="J842" s="72"/>
    </row>
    <row r="843" spans="1:10">
      <c r="A843" s="72"/>
      <c r="B843" s="72"/>
      <c r="C843" s="72"/>
      <c r="D843" s="72"/>
      <c r="E843" s="72"/>
      <c r="F843" s="72"/>
      <c r="G843" s="72"/>
      <c r="H843" s="72"/>
      <c r="I843" s="72"/>
      <c r="J843" s="72"/>
    </row>
    <row r="844" spans="1:10">
      <c r="A844" s="72"/>
      <c r="B844" s="72"/>
      <c r="C844" s="72"/>
      <c r="D844" s="72"/>
      <c r="E844" s="72"/>
      <c r="F844" s="72"/>
      <c r="G844" s="72"/>
      <c r="H844" s="72"/>
      <c r="I844" s="72"/>
      <c r="J844" s="72"/>
    </row>
    <row r="845" spans="1:10">
      <c r="A845" s="72"/>
      <c r="B845" s="72"/>
      <c r="C845" s="72"/>
      <c r="D845" s="72"/>
      <c r="E845" s="72"/>
      <c r="F845" s="72"/>
      <c r="G845" s="72"/>
      <c r="H845" s="72"/>
      <c r="I845" s="72"/>
      <c r="J845" s="72"/>
    </row>
    <row r="846" spans="1:10">
      <c r="A846" s="72"/>
      <c r="B846" s="72"/>
      <c r="C846" s="72"/>
      <c r="D846" s="72"/>
      <c r="E846" s="72"/>
      <c r="F846" s="72"/>
      <c r="G846" s="72"/>
      <c r="H846" s="72"/>
      <c r="I846" s="72"/>
      <c r="J846" s="72"/>
    </row>
    <row r="847" spans="1:10">
      <c r="A847" s="72"/>
      <c r="B847" s="72"/>
      <c r="C847" s="72"/>
      <c r="D847" s="72"/>
      <c r="E847" s="72"/>
      <c r="F847" s="72"/>
      <c r="G847" s="72"/>
      <c r="H847" s="72"/>
      <c r="I847" s="72"/>
      <c r="J847" s="72"/>
    </row>
    <row r="848" spans="1:10">
      <c r="A848" s="72"/>
      <c r="B848" s="72"/>
      <c r="C848" s="72"/>
      <c r="D848" s="72"/>
      <c r="E848" s="72"/>
      <c r="F848" s="72"/>
      <c r="G848" s="72"/>
      <c r="H848" s="72"/>
      <c r="I848" s="72"/>
      <c r="J848" s="72"/>
    </row>
    <row r="849" spans="1:10">
      <c r="A849" s="72"/>
      <c r="B849" s="72"/>
      <c r="C849" s="72"/>
      <c r="D849" s="72"/>
      <c r="E849" s="72"/>
      <c r="F849" s="72"/>
      <c r="G849" s="72"/>
      <c r="H849" s="72"/>
      <c r="I849" s="72"/>
      <c r="J849" s="72"/>
    </row>
    <row r="850" spans="1:10">
      <c r="A850" s="72"/>
      <c r="B850" s="72"/>
      <c r="C850" s="72"/>
      <c r="D850" s="72"/>
      <c r="E850" s="72"/>
      <c r="F850" s="72"/>
      <c r="G850" s="72"/>
      <c r="H850" s="72"/>
      <c r="I850" s="72"/>
      <c r="J850" s="72"/>
    </row>
    <row r="851" spans="1:10">
      <c r="A851" s="72"/>
      <c r="B851" s="72"/>
      <c r="C851" s="72"/>
      <c r="D851" s="72"/>
      <c r="E851" s="72"/>
      <c r="F851" s="72"/>
      <c r="G851" s="72"/>
      <c r="H851" s="72"/>
      <c r="I851" s="72"/>
      <c r="J851" s="72"/>
    </row>
    <row r="852" spans="1:10">
      <c r="A852" s="72"/>
      <c r="B852" s="72"/>
      <c r="C852" s="72"/>
      <c r="D852" s="72"/>
      <c r="E852" s="72"/>
      <c r="F852" s="72"/>
      <c r="G852" s="72"/>
      <c r="H852" s="72"/>
      <c r="I852" s="72"/>
      <c r="J852" s="72"/>
    </row>
    <row r="853" spans="1:10">
      <c r="A853" s="72"/>
      <c r="B853" s="72"/>
      <c r="C853" s="72"/>
      <c r="D853" s="72"/>
      <c r="E853" s="72"/>
      <c r="F853" s="72"/>
      <c r="G853" s="72"/>
      <c r="H853" s="72"/>
      <c r="I853" s="72"/>
      <c r="J853" s="72"/>
    </row>
    <row r="854" spans="1:10">
      <c r="A854" s="72"/>
      <c r="B854" s="72"/>
      <c r="C854" s="72"/>
      <c r="D854" s="72"/>
      <c r="E854" s="72"/>
      <c r="F854" s="72"/>
      <c r="G854" s="72"/>
      <c r="H854" s="72"/>
      <c r="I854" s="72"/>
      <c r="J854" s="72"/>
    </row>
    <row r="855" spans="1:10">
      <c r="A855" s="72"/>
      <c r="B855" s="72"/>
      <c r="C855" s="72"/>
      <c r="D855" s="72"/>
      <c r="E855" s="72"/>
      <c r="F855" s="72"/>
      <c r="G855" s="72"/>
      <c r="H855" s="72"/>
      <c r="I855" s="72"/>
      <c r="J855" s="72"/>
    </row>
    <row r="856" spans="1:10">
      <c r="A856" s="72"/>
      <c r="B856" s="72"/>
      <c r="C856" s="72"/>
      <c r="D856" s="72"/>
      <c r="E856" s="72"/>
      <c r="F856" s="72"/>
      <c r="G856" s="72"/>
      <c r="H856" s="72"/>
      <c r="I856" s="72"/>
      <c r="J856" s="72"/>
    </row>
    <row r="857" spans="1:10">
      <c r="A857" s="72"/>
      <c r="B857" s="72"/>
      <c r="C857" s="72"/>
      <c r="D857" s="72"/>
      <c r="E857" s="72"/>
      <c r="F857" s="72"/>
      <c r="G857" s="72"/>
      <c r="H857" s="72"/>
      <c r="I857" s="72"/>
      <c r="J857" s="72"/>
    </row>
    <row r="858" spans="1:10">
      <c r="A858" s="72"/>
      <c r="B858" s="72"/>
      <c r="C858" s="72"/>
      <c r="D858" s="72"/>
      <c r="E858" s="72"/>
      <c r="F858" s="72"/>
      <c r="G858" s="72"/>
      <c r="H858" s="72"/>
      <c r="I858" s="72"/>
      <c r="J858" s="72"/>
    </row>
    <row r="859" spans="1:10">
      <c r="A859" s="72"/>
      <c r="B859" s="72"/>
      <c r="C859" s="72"/>
      <c r="D859" s="72"/>
      <c r="E859" s="72"/>
      <c r="F859" s="72"/>
      <c r="G859" s="72"/>
      <c r="H859" s="72"/>
      <c r="I859" s="72"/>
      <c r="J859" s="72"/>
    </row>
    <row r="860" spans="1:10">
      <c r="A860" s="72"/>
      <c r="B860" s="72"/>
      <c r="C860" s="72"/>
      <c r="D860" s="72"/>
      <c r="E860" s="72"/>
      <c r="F860" s="72"/>
      <c r="G860" s="72"/>
      <c r="H860" s="72"/>
      <c r="I860" s="72"/>
      <c r="J860" s="72"/>
    </row>
    <row r="861" spans="1:10">
      <c r="A861" s="72"/>
      <c r="B861" s="72"/>
      <c r="C861" s="72"/>
      <c r="D861" s="72"/>
      <c r="E861" s="72"/>
      <c r="F861" s="72"/>
      <c r="G861" s="72"/>
      <c r="H861" s="72"/>
      <c r="I861" s="72"/>
      <c r="J861" s="72"/>
    </row>
    <row r="862" spans="1:10">
      <c r="A862" s="72"/>
      <c r="B862" s="72"/>
      <c r="C862" s="72"/>
      <c r="D862" s="72"/>
      <c r="E862" s="72"/>
      <c r="F862" s="72"/>
      <c r="G862" s="72"/>
      <c r="H862" s="72"/>
      <c r="I862" s="72"/>
      <c r="J862" s="72"/>
    </row>
    <row r="863" spans="1:10">
      <c r="A863" s="72"/>
      <c r="B863" s="72"/>
      <c r="C863" s="72"/>
      <c r="D863" s="72"/>
      <c r="E863" s="72"/>
      <c r="F863" s="72"/>
      <c r="G863" s="72"/>
      <c r="H863" s="72"/>
      <c r="I863" s="72"/>
      <c r="J863" s="72"/>
    </row>
    <row r="864" spans="1:10">
      <c r="A864" s="72"/>
      <c r="B864" s="72"/>
      <c r="C864" s="72"/>
      <c r="D864" s="72"/>
      <c r="E864" s="72"/>
      <c r="F864" s="72"/>
      <c r="G864" s="72"/>
      <c r="H864" s="72"/>
      <c r="I864" s="72"/>
      <c r="J864" s="72"/>
    </row>
    <row r="865" spans="1:10">
      <c r="A865" s="72"/>
      <c r="B865" s="72"/>
      <c r="C865" s="72"/>
      <c r="D865" s="72"/>
      <c r="E865" s="72"/>
      <c r="F865" s="72"/>
      <c r="G865" s="72"/>
      <c r="H865" s="72"/>
      <c r="I865" s="72"/>
      <c r="J865" s="72"/>
    </row>
    <row r="866" spans="1:10">
      <c r="A866" s="72"/>
      <c r="B866" s="72"/>
      <c r="C866" s="72"/>
      <c r="D866" s="72"/>
      <c r="E866" s="72"/>
      <c r="F866" s="72"/>
      <c r="G866" s="72"/>
      <c r="H866" s="72"/>
      <c r="I866" s="72"/>
      <c r="J866" s="72"/>
    </row>
    <row r="867" spans="1:10">
      <c r="A867" s="72"/>
      <c r="B867" s="72"/>
      <c r="C867" s="72"/>
      <c r="D867" s="72"/>
      <c r="E867" s="72"/>
      <c r="F867" s="72"/>
      <c r="G867" s="72"/>
      <c r="H867" s="72"/>
      <c r="I867" s="72"/>
      <c r="J867" s="72"/>
    </row>
    <row r="868" spans="1:10">
      <c r="A868" s="72"/>
      <c r="B868" s="72"/>
      <c r="C868" s="72"/>
      <c r="D868" s="72"/>
      <c r="E868" s="72"/>
      <c r="F868" s="72"/>
      <c r="G868" s="72"/>
      <c r="H868" s="72"/>
      <c r="I868" s="72"/>
      <c r="J868" s="72"/>
    </row>
    <row r="869" spans="1:10">
      <c r="A869" s="72"/>
      <c r="B869" s="72"/>
      <c r="C869" s="72"/>
      <c r="D869" s="72"/>
      <c r="E869" s="72"/>
      <c r="F869" s="72"/>
      <c r="G869" s="72"/>
      <c r="H869" s="72"/>
      <c r="I869" s="72"/>
      <c r="J869" s="72"/>
    </row>
    <row r="870" spans="1:10">
      <c r="A870" s="72"/>
      <c r="B870" s="72"/>
      <c r="C870" s="72"/>
      <c r="D870" s="72"/>
      <c r="E870" s="72"/>
      <c r="F870" s="72"/>
      <c r="G870" s="72"/>
      <c r="H870" s="72"/>
      <c r="I870" s="72"/>
      <c r="J870" s="72"/>
    </row>
    <row r="871" spans="1:10">
      <c r="A871" s="72"/>
      <c r="B871" s="72"/>
      <c r="C871" s="72"/>
      <c r="D871" s="72"/>
      <c r="E871" s="72"/>
      <c r="F871" s="72"/>
      <c r="G871" s="72"/>
      <c r="H871" s="72"/>
      <c r="I871" s="72"/>
      <c r="J871" s="72"/>
    </row>
    <row r="872" spans="1:10">
      <c r="A872" s="72"/>
      <c r="B872" s="72"/>
      <c r="C872" s="72"/>
      <c r="D872" s="72"/>
      <c r="E872" s="72"/>
      <c r="F872" s="72"/>
      <c r="G872" s="72"/>
      <c r="H872" s="72"/>
      <c r="I872" s="72"/>
      <c r="J872" s="72"/>
    </row>
    <row r="873" spans="1:10">
      <c r="A873" s="72"/>
      <c r="B873" s="72"/>
      <c r="C873" s="72"/>
      <c r="D873" s="72"/>
      <c r="E873" s="72"/>
      <c r="F873" s="72"/>
      <c r="G873" s="72"/>
      <c r="H873" s="72"/>
      <c r="I873" s="72"/>
      <c r="J873" s="72"/>
    </row>
    <row r="874" spans="1:10">
      <c r="A874" s="72"/>
      <c r="B874" s="72"/>
      <c r="C874" s="72"/>
      <c r="D874" s="72"/>
      <c r="E874" s="72"/>
      <c r="F874" s="72"/>
      <c r="G874" s="72"/>
      <c r="H874" s="72"/>
      <c r="I874" s="72"/>
      <c r="J874" s="72"/>
    </row>
    <row r="875" spans="1:10">
      <c r="A875" s="72"/>
      <c r="B875" s="72"/>
      <c r="C875" s="72"/>
      <c r="D875" s="72"/>
      <c r="E875" s="72"/>
      <c r="F875" s="72"/>
      <c r="G875" s="72"/>
      <c r="H875" s="72"/>
      <c r="I875" s="72"/>
      <c r="J875" s="72"/>
    </row>
    <row r="876" spans="1:10">
      <c r="A876" s="72"/>
      <c r="B876" s="72"/>
      <c r="C876" s="72"/>
      <c r="D876" s="72"/>
      <c r="E876" s="72"/>
      <c r="F876" s="72"/>
      <c r="G876" s="72"/>
      <c r="H876" s="72"/>
      <c r="I876" s="72"/>
      <c r="J876" s="72"/>
    </row>
    <row r="877" spans="1:10">
      <c r="A877" s="72"/>
      <c r="B877" s="72"/>
      <c r="C877" s="72"/>
      <c r="D877" s="72"/>
      <c r="E877" s="72"/>
      <c r="F877" s="72"/>
      <c r="G877" s="72"/>
      <c r="H877" s="72"/>
      <c r="I877" s="72"/>
      <c r="J877" s="72"/>
    </row>
    <row r="878" spans="1:10">
      <c r="A878" s="72"/>
      <c r="B878" s="72"/>
      <c r="C878" s="72"/>
      <c r="D878" s="72"/>
      <c r="E878" s="72"/>
      <c r="F878" s="72"/>
      <c r="G878" s="72"/>
      <c r="H878" s="72"/>
      <c r="I878" s="72"/>
      <c r="J878" s="72"/>
    </row>
    <row r="879" spans="1:10">
      <c r="A879" s="72"/>
      <c r="B879" s="72"/>
      <c r="C879" s="72"/>
      <c r="D879" s="72"/>
      <c r="E879" s="72"/>
      <c r="F879" s="72"/>
      <c r="G879" s="72"/>
      <c r="H879" s="72"/>
      <c r="I879" s="72"/>
      <c r="J879" s="72"/>
    </row>
    <row r="880" spans="1:10">
      <c r="A880" s="72"/>
      <c r="B880" s="72"/>
      <c r="C880" s="72"/>
      <c r="D880" s="72"/>
      <c r="E880" s="72"/>
      <c r="F880" s="72"/>
      <c r="G880" s="72"/>
      <c r="H880" s="72"/>
      <c r="I880" s="72"/>
      <c r="J880" s="72"/>
    </row>
    <row r="881" spans="1:10">
      <c r="A881" s="72"/>
      <c r="B881" s="72"/>
      <c r="C881" s="72"/>
      <c r="D881" s="72"/>
      <c r="E881" s="72"/>
      <c r="F881" s="72"/>
      <c r="G881" s="72"/>
      <c r="H881" s="72"/>
      <c r="I881" s="72"/>
      <c r="J881" s="72"/>
    </row>
    <row r="882" spans="1:10">
      <c r="A882" s="72"/>
      <c r="B882" s="72"/>
      <c r="C882" s="72"/>
      <c r="D882" s="72"/>
      <c r="E882" s="72"/>
      <c r="F882" s="72"/>
      <c r="G882" s="72"/>
      <c r="H882" s="72"/>
      <c r="I882" s="72"/>
      <c r="J882" s="72"/>
    </row>
    <row r="883" spans="1:10">
      <c r="A883" s="72"/>
      <c r="B883" s="72"/>
      <c r="C883" s="72"/>
      <c r="D883" s="72"/>
      <c r="E883" s="72"/>
      <c r="F883" s="72"/>
      <c r="G883" s="72"/>
      <c r="H883" s="72"/>
      <c r="I883" s="72"/>
      <c r="J883" s="72"/>
    </row>
    <row r="884" spans="1:10">
      <c r="A884" s="72"/>
      <c r="B884" s="72"/>
      <c r="C884" s="72"/>
      <c r="D884" s="72"/>
      <c r="E884" s="72"/>
      <c r="F884" s="72"/>
      <c r="G884" s="72"/>
      <c r="H884" s="72"/>
      <c r="I884" s="72"/>
      <c r="J884" s="72"/>
    </row>
    <row r="885" spans="1:10">
      <c r="A885" s="72"/>
      <c r="B885" s="72"/>
      <c r="C885" s="72"/>
      <c r="D885" s="72"/>
      <c r="E885" s="72"/>
      <c r="F885" s="72"/>
      <c r="G885" s="72"/>
      <c r="H885" s="72"/>
      <c r="I885" s="72"/>
      <c r="J885" s="72"/>
    </row>
    <row r="886" spans="1:10">
      <c r="A886" s="72"/>
      <c r="B886" s="72"/>
      <c r="C886" s="72"/>
      <c r="D886" s="72"/>
      <c r="E886" s="72"/>
      <c r="F886" s="72"/>
      <c r="G886" s="72"/>
      <c r="H886" s="72"/>
      <c r="I886" s="72"/>
      <c r="J886" s="72"/>
    </row>
    <row r="887" spans="1:10">
      <c r="A887" s="72"/>
      <c r="B887" s="72"/>
      <c r="C887" s="72"/>
      <c r="D887" s="72"/>
      <c r="E887" s="72"/>
      <c r="F887" s="72"/>
      <c r="G887" s="72"/>
      <c r="H887" s="72"/>
      <c r="I887" s="72"/>
      <c r="J887" s="72"/>
    </row>
    <row r="888" spans="1:10">
      <c r="A888" s="72"/>
      <c r="B888" s="72"/>
      <c r="C888" s="72"/>
      <c r="D888" s="72"/>
      <c r="E888" s="72"/>
      <c r="F888" s="72"/>
      <c r="G888" s="72"/>
      <c r="H888" s="72"/>
      <c r="I888" s="72"/>
      <c r="J888" s="72"/>
    </row>
    <row r="889" spans="1:10">
      <c r="A889" s="72"/>
      <c r="B889" s="72"/>
      <c r="C889" s="72"/>
      <c r="D889" s="72"/>
      <c r="E889" s="72"/>
      <c r="F889" s="72"/>
      <c r="G889" s="72"/>
      <c r="H889" s="72"/>
      <c r="I889" s="72"/>
      <c r="J889" s="72"/>
    </row>
    <row r="890" spans="1:10">
      <c r="A890" s="72"/>
      <c r="B890" s="72"/>
      <c r="C890" s="72"/>
      <c r="D890" s="72"/>
      <c r="E890" s="72"/>
      <c r="F890" s="72"/>
      <c r="G890" s="72"/>
      <c r="H890" s="72"/>
      <c r="I890" s="72"/>
      <c r="J890" s="72"/>
    </row>
    <row r="891" spans="1:10">
      <c r="A891" s="72"/>
      <c r="B891" s="72"/>
      <c r="C891" s="72"/>
      <c r="D891" s="72"/>
      <c r="E891" s="72"/>
      <c r="F891" s="72"/>
      <c r="G891" s="72"/>
      <c r="H891" s="72"/>
      <c r="I891" s="72"/>
      <c r="J891" s="72"/>
    </row>
    <row r="892" spans="1:10">
      <c r="A892" s="72"/>
      <c r="B892" s="72"/>
      <c r="C892" s="72"/>
      <c r="D892" s="72"/>
      <c r="E892" s="72"/>
      <c r="F892" s="72"/>
      <c r="G892" s="72"/>
      <c r="H892" s="72"/>
      <c r="I892" s="72"/>
      <c r="J892" s="72"/>
    </row>
    <row r="893" spans="1:10">
      <c r="A893" s="72"/>
      <c r="B893" s="72"/>
      <c r="C893" s="72"/>
      <c r="D893" s="72"/>
      <c r="E893" s="72"/>
      <c r="F893" s="72"/>
      <c r="G893" s="72"/>
      <c r="H893" s="72"/>
      <c r="I893" s="72"/>
      <c r="J893" s="72"/>
    </row>
    <row r="894" spans="1:10">
      <c r="A894" s="72"/>
      <c r="B894" s="72"/>
      <c r="C894" s="72"/>
      <c r="D894" s="72"/>
      <c r="E894" s="72"/>
      <c r="F894" s="72"/>
      <c r="G894" s="72"/>
      <c r="H894" s="72"/>
      <c r="I894" s="72"/>
      <c r="J894" s="72"/>
    </row>
    <row r="895" spans="1:10">
      <c r="A895" s="72"/>
      <c r="B895" s="72"/>
      <c r="C895" s="72"/>
      <c r="D895" s="72"/>
      <c r="E895" s="72"/>
      <c r="F895" s="72"/>
      <c r="G895" s="72"/>
      <c r="H895" s="72"/>
      <c r="I895" s="72"/>
      <c r="J895" s="72"/>
    </row>
    <row r="896" spans="1:10">
      <c r="A896" s="72"/>
      <c r="B896" s="72"/>
      <c r="C896" s="72"/>
      <c r="D896" s="72"/>
      <c r="E896" s="72"/>
      <c r="F896" s="72"/>
      <c r="G896" s="72"/>
      <c r="H896" s="72"/>
      <c r="I896" s="72"/>
      <c r="J896" s="72"/>
    </row>
    <row r="897" spans="1:10">
      <c r="A897" s="72"/>
      <c r="B897" s="72"/>
      <c r="C897" s="72"/>
      <c r="D897" s="72"/>
      <c r="E897" s="72"/>
      <c r="F897" s="72"/>
      <c r="G897" s="72"/>
      <c r="H897" s="72"/>
      <c r="I897" s="72"/>
      <c r="J897" s="72"/>
    </row>
    <row r="898" spans="1:10">
      <c r="A898" s="72"/>
      <c r="B898" s="72"/>
      <c r="C898" s="72"/>
      <c r="D898" s="72"/>
      <c r="E898" s="72"/>
      <c r="F898" s="72"/>
      <c r="G898" s="72"/>
      <c r="H898" s="72"/>
      <c r="I898" s="72"/>
      <c r="J898" s="72"/>
    </row>
    <row r="899" spans="1:10">
      <c r="A899" s="72"/>
      <c r="B899" s="72"/>
      <c r="C899" s="72"/>
      <c r="D899" s="72"/>
      <c r="E899" s="72"/>
      <c r="F899" s="72"/>
      <c r="G899" s="72"/>
      <c r="H899" s="72"/>
      <c r="I899" s="72"/>
      <c r="J899" s="72"/>
    </row>
    <row r="900" spans="1:10">
      <c r="A900" s="72"/>
      <c r="B900" s="72"/>
      <c r="C900" s="72"/>
      <c r="D900" s="72"/>
      <c r="E900" s="72"/>
      <c r="F900" s="72"/>
      <c r="G900" s="72"/>
      <c r="H900" s="72"/>
      <c r="I900" s="72"/>
      <c r="J900" s="72"/>
    </row>
    <row r="901" spans="1:10">
      <c r="A901" s="72"/>
      <c r="B901" s="72"/>
      <c r="C901" s="72"/>
      <c r="D901" s="72"/>
      <c r="E901" s="72"/>
      <c r="F901" s="72"/>
      <c r="G901" s="72"/>
      <c r="H901" s="72"/>
      <c r="I901" s="72"/>
      <c r="J901" s="72"/>
    </row>
    <row r="902" spans="1:10">
      <c r="A902" s="72"/>
      <c r="B902" s="72"/>
      <c r="C902" s="72"/>
      <c r="D902" s="72"/>
      <c r="E902" s="72"/>
      <c r="F902" s="72"/>
      <c r="G902" s="72"/>
      <c r="H902" s="72"/>
      <c r="I902" s="72"/>
      <c r="J902" s="72"/>
    </row>
    <row r="903" spans="1:10">
      <c r="A903" s="72"/>
      <c r="B903" s="72"/>
      <c r="C903" s="72"/>
      <c r="D903" s="72"/>
      <c r="E903" s="72"/>
      <c r="F903" s="72"/>
      <c r="G903" s="72"/>
      <c r="H903" s="72"/>
      <c r="I903" s="72"/>
      <c r="J903" s="72"/>
    </row>
    <row r="904" spans="1:10">
      <c r="A904" s="72"/>
      <c r="B904" s="72"/>
      <c r="C904" s="72"/>
      <c r="D904" s="72"/>
      <c r="E904" s="72"/>
      <c r="F904" s="72"/>
      <c r="G904" s="72"/>
      <c r="H904" s="72"/>
      <c r="I904" s="72"/>
      <c r="J904" s="72"/>
    </row>
    <row r="905" spans="1:10">
      <c r="A905" s="72"/>
      <c r="B905" s="72"/>
      <c r="C905" s="72"/>
      <c r="D905" s="72"/>
      <c r="E905" s="72"/>
      <c r="F905" s="72"/>
      <c r="G905" s="72"/>
      <c r="H905" s="72"/>
      <c r="I905" s="72"/>
      <c r="J905" s="72"/>
    </row>
    <row r="906" spans="1:10">
      <c r="A906" s="72"/>
      <c r="B906" s="72"/>
      <c r="C906" s="72"/>
      <c r="D906" s="72"/>
      <c r="E906" s="72"/>
      <c r="F906" s="72"/>
      <c r="G906" s="72"/>
      <c r="H906" s="72"/>
      <c r="I906" s="72"/>
      <c r="J906" s="72"/>
    </row>
    <row r="907" spans="1:10">
      <c r="A907" s="72"/>
      <c r="B907" s="72"/>
      <c r="C907" s="72"/>
      <c r="D907" s="72"/>
      <c r="E907" s="72"/>
      <c r="F907" s="72"/>
      <c r="G907" s="72"/>
      <c r="H907" s="72"/>
      <c r="I907" s="72"/>
      <c r="J907" s="72"/>
    </row>
    <row r="908" spans="1:10">
      <c r="A908" s="72"/>
      <c r="B908" s="72"/>
      <c r="C908" s="72"/>
      <c r="D908" s="72"/>
      <c r="E908" s="72"/>
      <c r="F908" s="72"/>
      <c r="G908" s="72"/>
      <c r="H908" s="72"/>
      <c r="I908" s="72"/>
      <c r="J908" s="72"/>
    </row>
    <row r="909" spans="1:10">
      <c r="A909" s="72"/>
      <c r="B909" s="72"/>
      <c r="C909" s="72"/>
      <c r="D909" s="72"/>
      <c r="E909" s="72"/>
      <c r="F909" s="72"/>
      <c r="G909" s="72"/>
      <c r="H909" s="72"/>
      <c r="I909" s="72"/>
      <c r="J909" s="72"/>
    </row>
    <row r="910" spans="1:10">
      <c r="A910" s="72"/>
      <c r="B910" s="72"/>
      <c r="C910" s="72"/>
      <c r="D910" s="72"/>
      <c r="E910" s="72"/>
      <c r="F910" s="72"/>
      <c r="G910" s="72"/>
      <c r="H910" s="72"/>
      <c r="I910" s="72"/>
      <c r="J910" s="72"/>
    </row>
    <row r="911" spans="1:10">
      <c r="A911" s="72"/>
      <c r="B911" s="72"/>
      <c r="C911" s="72"/>
      <c r="D911" s="72"/>
      <c r="E911" s="72"/>
      <c r="F911" s="72"/>
      <c r="G911" s="72"/>
      <c r="H911" s="72"/>
      <c r="I911" s="72"/>
      <c r="J911" s="72"/>
    </row>
    <row r="912" spans="1:10">
      <c r="A912" s="72"/>
      <c r="B912" s="72"/>
      <c r="C912" s="72"/>
      <c r="D912" s="72"/>
      <c r="E912" s="72"/>
      <c r="F912" s="72"/>
      <c r="G912" s="72"/>
      <c r="H912" s="72"/>
      <c r="I912" s="72"/>
      <c r="J912" s="72"/>
    </row>
    <row r="913" spans="1:10">
      <c r="A913" s="72"/>
      <c r="B913" s="72"/>
      <c r="C913" s="72"/>
      <c r="D913" s="72"/>
      <c r="E913" s="72"/>
      <c r="F913" s="72"/>
      <c r="G913" s="72"/>
      <c r="H913" s="72"/>
      <c r="I913" s="72"/>
      <c r="J913" s="72"/>
    </row>
    <row r="914" spans="1:10">
      <c r="A914" s="72"/>
      <c r="B914" s="72"/>
      <c r="C914" s="72"/>
      <c r="D914" s="72"/>
      <c r="E914" s="72"/>
      <c r="F914" s="72"/>
      <c r="G914" s="72"/>
      <c r="H914" s="72"/>
      <c r="I914" s="72"/>
      <c r="J914" s="72"/>
    </row>
    <row r="915" spans="1:10">
      <c r="A915" s="72"/>
      <c r="B915" s="72"/>
      <c r="C915" s="72"/>
      <c r="D915" s="72"/>
      <c r="E915" s="72"/>
      <c r="F915" s="72"/>
      <c r="G915" s="72"/>
      <c r="H915" s="72"/>
      <c r="I915" s="72"/>
      <c r="J915" s="72"/>
    </row>
    <row r="916" spans="1:10">
      <c r="A916" s="72"/>
      <c r="B916" s="72"/>
      <c r="C916" s="72"/>
      <c r="D916" s="72"/>
      <c r="E916" s="72"/>
      <c r="F916" s="72"/>
      <c r="G916" s="72"/>
      <c r="H916" s="72"/>
      <c r="I916" s="72"/>
      <c r="J916" s="72"/>
    </row>
    <row r="917" spans="1:10">
      <c r="A917" s="72"/>
      <c r="B917" s="72"/>
      <c r="C917" s="72"/>
      <c r="D917" s="72"/>
      <c r="E917" s="72"/>
      <c r="F917" s="72"/>
      <c r="G917" s="72"/>
      <c r="H917" s="72"/>
      <c r="I917" s="72"/>
      <c r="J917" s="72"/>
    </row>
    <row r="918" spans="1:10">
      <c r="A918" s="72"/>
      <c r="B918" s="72"/>
      <c r="C918" s="72"/>
      <c r="D918" s="72"/>
      <c r="E918" s="72"/>
      <c r="F918" s="72"/>
      <c r="G918" s="72"/>
      <c r="H918" s="72"/>
      <c r="I918" s="72"/>
      <c r="J918" s="72"/>
    </row>
    <row r="919" spans="1:10">
      <c r="A919" s="72"/>
      <c r="B919" s="72"/>
      <c r="C919" s="72"/>
      <c r="D919" s="72"/>
      <c r="E919" s="72"/>
      <c r="F919" s="72"/>
      <c r="G919" s="72"/>
      <c r="H919" s="72"/>
      <c r="I919" s="72"/>
      <c r="J919" s="72"/>
    </row>
    <row r="920" spans="1:10">
      <c r="A920" s="72"/>
      <c r="B920" s="72"/>
      <c r="C920" s="72"/>
      <c r="D920" s="72"/>
      <c r="E920" s="72"/>
      <c r="F920" s="72"/>
      <c r="G920" s="72"/>
      <c r="H920" s="72"/>
      <c r="I920" s="72"/>
      <c r="J920" s="72"/>
    </row>
    <row r="921" spans="1:10">
      <c r="A921" s="72"/>
      <c r="B921" s="72"/>
      <c r="C921" s="72"/>
      <c r="D921" s="72"/>
      <c r="E921" s="72"/>
      <c r="F921" s="72"/>
      <c r="G921" s="72"/>
      <c r="H921" s="72"/>
      <c r="I921" s="72"/>
      <c r="J921" s="72"/>
    </row>
    <row r="922" spans="1:10">
      <c r="A922" s="72"/>
      <c r="B922" s="72"/>
      <c r="C922" s="72"/>
      <c r="D922" s="72"/>
      <c r="E922" s="72"/>
      <c r="F922" s="72"/>
      <c r="G922" s="72"/>
      <c r="H922" s="72"/>
      <c r="I922" s="72"/>
      <c r="J922" s="72"/>
    </row>
    <row r="923" spans="1:10">
      <c r="A923" s="72"/>
      <c r="B923" s="72"/>
      <c r="C923" s="72"/>
      <c r="D923" s="72"/>
      <c r="E923" s="72"/>
      <c r="F923" s="72"/>
      <c r="G923" s="72"/>
      <c r="H923" s="72"/>
      <c r="I923" s="72"/>
      <c r="J923" s="72"/>
    </row>
    <row r="924" spans="1:10">
      <c r="A924" s="72"/>
      <c r="B924" s="72"/>
      <c r="C924" s="72"/>
      <c r="D924" s="72"/>
      <c r="E924" s="72"/>
      <c r="F924" s="72"/>
      <c r="G924" s="72"/>
      <c r="H924" s="72"/>
      <c r="I924" s="72"/>
      <c r="J924" s="72"/>
    </row>
    <row r="925" spans="1:10">
      <c r="A925" s="72"/>
      <c r="B925" s="72"/>
      <c r="C925" s="72"/>
      <c r="D925" s="72"/>
      <c r="E925" s="72"/>
      <c r="F925" s="72"/>
      <c r="G925" s="72"/>
      <c r="H925" s="72"/>
      <c r="I925" s="72"/>
      <c r="J925" s="72"/>
    </row>
    <row r="926" spans="1:10">
      <c r="A926" s="72"/>
      <c r="B926" s="72"/>
      <c r="C926" s="72"/>
      <c r="D926" s="72"/>
      <c r="E926" s="72"/>
      <c r="F926" s="72"/>
      <c r="G926" s="72"/>
      <c r="H926" s="72"/>
      <c r="I926" s="72"/>
      <c r="J926" s="72"/>
    </row>
    <row r="927" spans="1:10">
      <c r="A927" s="72"/>
      <c r="B927" s="72"/>
      <c r="C927" s="72"/>
      <c r="D927" s="72"/>
      <c r="E927" s="72"/>
      <c r="F927" s="72"/>
      <c r="G927" s="72"/>
      <c r="H927" s="72"/>
      <c r="I927" s="72"/>
      <c r="J927" s="72"/>
    </row>
    <row r="928" spans="1:10">
      <c r="A928" s="72"/>
      <c r="B928" s="72"/>
      <c r="C928" s="72"/>
      <c r="D928" s="72"/>
      <c r="E928" s="72"/>
      <c r="F928" s="72"/>
      <c r="G928" s="72"/>
      <c r="H928" s="72"/>
      <c r="I928" s="72"/>
      <c r="J928" s="72"/>
    </row>
    <row r="929" spans="1:10">
      <c r="A929" s="72"/>
      <c r="B929" s="72"/>
      <c r="C929" s="72"/>
      <c r="D929" s="72"/>
      <c r="E929" s="72"/>
      <c r="F929" s="72"/>
      <c r="G929" s="72"/>
      <c r="H929" s="72"/>
      <c r="I929" s="72"/>
      <c r="J929" s="72"/>
    </row>
    <row r="930" spans="1:10">
      <c r="A930" s="72"/>
      <c r="B930" s="72"/>
      <c r="C930" s="72"/>
      <c r="D930" s="72"/>
      <c r="E930" s="72"/>
      <c r="F930" s="72"/>
      <c r="G930" s="72"/>
      <c r="H930" s="72"/>
      <c r="I930" s="72"/>
      <c r="J930" s="72"/>
    </row>
    <row r="931" spans="1:10">
      <c r="A931" s="72"/>
      <c r="B931" s="72"/>
      <c r="C931" s="72"/>
      <c r="D931" s="72"/>
      <c r="E931" s="72"/>
      <c r="F931" s="72"/>
      <c r="G931" s="72"/>
      <c r="H931" s="72"/>
      <c r="I931" s="72"/>
      <c r="J931" s="72"/>
    </row>
    <row r="932" spans="1:10">
      <c r="A932" s="72"/>
      <c r="B932" s="72"/>
      <c r="C932" s="72"/>
      <c r="D932" s="72"/>
      <c r="E932" s="72"/>
      <c r="F932" s="72"/>
      <c r="G932" s="72"/>
      <c r="H932" s="72"/>
      <c r="I932" s="72"/>
      <c r="J932" s="72"/>
    </row>
    <row r="933" spans="1:10">
      <c r="A933" s="72"/>
      <c r="B933" s="72"/>
      <c r="C933" s="72"/>
      <c r="D933" s="72"/>
      <c r="E933" s="72"/>
      <c r="F933" s="72"/>
      <c r="G933" s="72"/>
      <c r="H933" s="72"/>
      <c r="I933" s="72"/>
      <c r="J933" s="72"/>
    </row>
    <row r="934" spans="1:10">
      <c r="A934" s="72"/>
      <c r="B934" s="72"/>
      <c r="C934" s="72"/>
      <c r="D934" s="72"/>
      <c r="E934" s="72"/>
      <c r="F934" s="72"/>
      <c r="G934" s="72"/>
      <c r="H934" s="72"/>
      <c r="I934" s="72"/>
      <c r="J934" s="72"/>
    </row>
    <row r="935" spans="1:10">
      <c r="A935" s="72"/>
      <c r="B935" s="72"/>
      <c r="C935" s="72"/>
      <c r="D935" s="72"/>
      <c r="E935" s="72"/>
      <c r="F935" s="72"/>
      <c r="G935" s="72"/>
      <c r="H935" s="72"/>
      <c r="I935" s="72"/>
      <c r="J935" s="72"/>
    </row>
    <row r="936" spans="1:10">
      <c r="A936" s="72"/>
      <c r="B936" s="72"/>
      <c r="C936" s="72"/>
      <c r="D936" s="72"/>
      <c r="E936" s="72"/>
      <c r="F936" s="72"/>
      <c r="G936" s="72"/>
      <c r="H936" s="72"/>
      <c r="I936" s="72"/>
      <c r="J936" s="72"/>
    </row>
    <row r="937" spans="1:10">
      <c r="A937" s="72"/>
      <c r="B937" s="72"/>
      <c r="C937" s="72"/>
      <c r="D937" s="72"/>
      <c r="E937" s="72"/>
      <c r="F937" s="72"/>
      <c r="G937" s="72"/>
      <c r="H937" s="72"/>
      <c r="I937" s="72"/>
      <c r="J937" s="72"/>
    </row>
    <row r="938" spans="1:10">
      <c r="A938" s="72"/>
      <c r="B938" s="72"/>
      <c r="C938" s="72"/>
      <c r="D938" s="72"/>
      <c r="E938" s="72"/>
      <c r="F938" s="72"/>
      <c r="G938" s="72"/>
      <c r="H938" s="72"/>
      <c r="I938" s="72"/>
      <c r="J938" s="72"/>
    </row>
    <row r="939" spans="1:10">
      <c r="A939" s="72"/>
      <c r="B939" s="72"/>
      <c r="C939" s="72"/>
      <c r="D939" s="72"/>
      <c r="E939" s="72"/>
      <c r="F939" s="72"/>
      <c r="G939" s="72"/>
      <c r="H939" s="72"/>
      <c r="I939" s="72"/>
      <c r="J939" s="72"/>
    </row>
    <row r="940" spans="1:10">
      <c r="A940" s="72"/>
      <c r="B940" s="72"/>
      <c r="C940" s="72"/>
      <c r="D940" s="72"/>
      <c r="E940" s="72"/>
      <c r="F940" s="72"/>
      <c r="G940" s="72"/>
      <c r="H940" s="72"/>
      <c r="I940" s="72"/>
      <c r="J940" s="72"/>
    </row>
    <row r="941" spans="1:10">
      <c r="A941" s="72"/>
      <c r="B941" s="72"/>
      <c r="C941" s="72"/>
      <c r="D941" s="72"/>
      <c r="E941" s="72"/>
      <c r="F941" s="72"/>
      <c r="G941" s="72"/>
      <c r="H941" s="72"/>
      <c r="I941" s="72"/>
      <c r="J941" s="72"/>
    </row>
    <row r="942" spans="1:10">
      <c r="A942" s="72"/>
      <c r="B942" s="72"/>
      <c r="C942" s="72"/>
      <c r="D942" s="72"/>
      <c r="E942" s="72"/>
      <c r="F942" s="72"/>
      <c r="G942" s="72"/>
      <c r="H942" s="72"/>
      <c r="I942" s="72"/>
      <c r="J942" s="72"/>
    </row>
    <row r="943" spans="1:10">
      <c r="A943" s="72"/>
      <c r="B943" s="72"/>
      <c r="C943" s="72"/>
      <c r="D943" s="72"/>
      <c r="E943" s="72"/>
      <c r="F943" s="72"/>
      <c r="G943" s="72"/>
      <c r="H943" s="72"/>
      <c r="I943" s="72"/>
      <c r="J943" s="72"/>
    </row>
    <row r="944" spans="1:10">
      <c r="A944" s="72"/>
      <c r="B944" s="72"/>
      <c r="C944" s="72"/>
      <c r="D944" s="72"/>
      <c r="E944" s="72"/>
      <c r="F944" s="72"/>
      <c r="G944" s="72"/>
      <c r="H944" s="72"/>
      <c r="I944" s="72"/>
      <c r="J944" s="72"/>
    </row>
    <row r="945" spans="1:10">
      <c r="A945" s="72"/>
      <c r="B945" s="72"/>
      <c r="C945" s="72"/>
      <c r="D945" s="72"/>
      <c r="E945" s="72"/>
      <c r="F945" s="72"/>
      <c r="G945" s="72"/>
      <c r="H945" s="72"/>
      <c r="I945" s="72"/>
      <c r="J945" s="72"/>
    </row>
    <row r="946" spans="1:10">
      <c r="A946" s="72"/>
      <c r="B946" s="72"/>
      <c r="C946" s="72"/>
      <c r="D946" s="72"/>
      <c r="E946" s="72"/>
      <c r="F946" s="72"/>
      <c r="G946" s="72"/>
      <c r="H946" s="72"/>
      <c r="I946" s="72"/>
      <c r="J946" s="72"/>
    </row>
    <row r="947" spans="1:10">
      <c r="A947" s="72"/>
      <c r="B947" s="72"/>
      <c r="C947" s="72"/>
      <c r="D947" s="72"/>
      <c r="E947" s="72"/>
      <c r="F947" s="72"/>
      <c r="G947" s="72"/>
      <c r="H947" s="72"/>
      <c r="I947" s="72"/>
      <c r="J947" s="72"/>
    </row>
    <row r="948" spans="1:10">
      <c r="A948" s="72"/>
      <c r="B948" s="72"/>
      <c r="C948" s="72"/>
      <c r="D948" s="72"/>
      <c r="E948" s="72"/>
      <c r="F948" s="72"/>
      <c r="G948" s="72"/>
      <c r="H948" s="72"/>
      <c r="I948" s="72"/>
      <c r="J948" s="72"/>
    </row>
    <row r="949" spans="1:10">
      <c r="A949" s="72"/>
      <c r="B949" s="72"/>
      <c r="C949" s="72"/>
      <c r="D949" s="72"/>
      <c r="E949" s="72"/>
      <c r="F949" s="72"/>
      <c r="G949" s="72"/>
      <c r="H949" s="72"/>
      <c r="I949" s="72"/>
      <c r="J949" s="72"/>
    </row>
    <row r="950" spans="1:10">
      <c r="A950" s="72"/>
      <c r="B950" s="72"/>
      <c r="C950" s="72"/>
      <c r="D950" s="72"/>
      <c r="E950" s="72"/>
      <c r="F950" s="72"/>
      <c r="G950" s="72"/>
      <c r="H950" s="72"/>
      <c r="I950" s="72"/>
      <c r="J950" s="72"/>
    </row>
    <row r="951" spans="1:10">
      <c r="A951" s="72"/>
      <c r="B951" s="72"/>
      <c r="C951" s="72"/>
      <c r="D951" s="72"/>
      <c r="E951" s="72"/>
      <c r="F951" s="72"/>
      <c r="G951" s="72"/>
      <c r="H951" s="72"/>
      <c r="I951" s="72"/>
      <c r="J951" s="72"/>
    </row>
    <row r="952" spans="1:10">
      <c r="A952" s="72"/>
      <c r="B952" s="72"/>
      <c r="C952" s="72"/>
      <c r="D952" s="72"/>
      <c r="E952" s="72"/>
      <c r="F952" s="72"/>
      <c r="G952" s="72"/>
      <c r="H952" s="72"/>
      <c r="I952" s="72"/>
      <c r="J952" s="72"/>
    </row>
    <row r="953" spans="1:10">
      <c r="A953" s="72"/>
      <c r="B953" s="72"/>
      <c r="C953" s="72"/>
      <c r="D953" s="72"/>
      <c r="E953" s="72"/>
      <c r="F953" s="72"/>
      <c r="G953" s="72"/>
      <c r="H953" s="72"/>
      <c r="I953" s="72"/>
      <c r="J953" s="72"/>
    </row>
    <row r="954" spans="1:10">
      <c r="A954" s="72"/>
      <c r="B954" s="72"/>
      <c r="C954" s="72"/>
      <c r="D954" s="72"/>
      <c r="E954" s="72"/>
      <c r="F954" s="72"/>
      <c r="G954" s="72"/>
      <c r="H954" s="72"/>
      <c r="I954" s="72"/>
      <c r="J954" s="72"/>
    </row>
    <row r="955" spans="1:10">
      <c r="A955" s="72"/>
      <c r="B955" s="72"/>
      <c r="C955" s="72"/>
      <c r="D955" s="72"/>
      <c r="E955" s="72"/>
      <c r="F955" s="72"/>
      <c r="G955" s="72"/>
      <c r="H955" s="72"/>
      <c r="I955" s="72"/>
      <c r="J955" s="72"/>
    </row>
    <row r="956" spans="1:10">
      <c r="A956" s="72"/>
      <c r="B956" s="72"/>
      <c r="C956" s="72"/>
      <c r="D956" s="72"/>
      <c r="E956" s="72"/>
      <c r="F956" s="72"/>
      <c r="G956" s="72"/>
      <c r="H956" s="72"/>
      <c r="I956" s="72"/>
      <c r="J956" s="72"/>
    </row>
    <row r="957" spans="1:10">
      <c r="A957" s="72"/>
      <c r="B957" s="72"/>
      <c r="C957" s="72"/>
      <c r="D957" s="72"/>
      <c r="E957" s="72"/>
      <c r="F957" s="72"/>
      <c r="G957" s="72"/>
      <c r="H957" s="72"/>
      <c r="I957" s="72"/>
      <c r="J957" s="72"/>
    </row>
    <row r="958" spans="1:10">
      <c r="A958" s="72"/>
      <c r="B958" s="72"/>
      <c r="C958" s="72"/>
      <c r="D958" s="72"/>
      <c r="E958" s="72"/>
      <c r="F958" s="72"/>
      <c r="G958" s="72"/>
      <c r="H958" s="72"/>
      <c r="I958" s="72"/>
      <c r="J958" s="72"/>
    </row>
    <row r="959" spans="1:10">
      <c r="A959" s="72"/>
      <c r="B959" s="72"/>
      <c r="C959" s="72"/>
      <c r="D959" s="72"/>
      <c r="E959" s="72"/>
      <c r="F959" s="72"/>
      <c r="G959" s="72"/>
      <c r="H959" s="72"/>
      <c r="I959" s="72"/>
      <c r="J959" s="72"/>
    </row>
    <row r="960" spans="1:10">
      <c r="A960" s="72"/>
      <c r="B960" s="72"/>
      <c r="C960" s="72"/>
      <c r="D960" s="72"/>
      <c r="E960" s="72"/>
      <c r="F960" s="72"/>
      <c r="G960" s="72"/>
      <c r="H960" s="72"/>
      <c r="I960" s="72"/>
      <c r="J960" s="72"/>
    </row>
    <row r="961" spans="1:10">
      <c r="A961" s="72"/>
      <c r="B961" s="72"/>
      <c r="C961" s="72"/>
      <c r="D961" s="72"/>
      <c r="E961" s="72"/>
      <c r="F961" s="72"/>
      <c r="G961" s="72"/>
      <c r="H961" s="72"/>
      <c r="I961" s="72"/>
      <c r="J961" s="72"/>
    </row>
    <row r="962" spans="1:10">
      <c r="A962" s="72"/>
      <c r="B962" s="72"/>
      <c r="C962" s="72"/>
      <c r="D962" s="72"/>
      <c r="E962" s="72"/>
      <c r="F962" s="72"/>
      <c r="G962" s="72"/>
      <c r="H962" s="72"/>
      <c r="I962" s="72"/>
      <c r="J962" s="72"/>
    </row>
    <row r="963" spans="1:10">
      <c r="A963" s="72"/>
      <c r="B963" s="72"/>
      <c r="C963" s="72"/>
      <c r="D963" s="72"/>
      <c r="E963" s="72"/>
      <c r="F963" s="72"/>
      <c r="G963" s="72"/>
      <c r="H963" s="72"/>
      <c r="I963" s="72"/>
      <c r="J963" s="72"/>
    </row>
    <row r="964" spans="1:10">
      <c r="A964" s="72"/>
      <c r="B964" s="72"/>
      <c r="C964" s="72"/>
      <c r="D964" s="72"/>
      <c r="E964" s="72"/>
      <c r="F964" s="72"/>
      <c r="G964" s="72"/>
      <c r="H964" s="72"/>
      <c r="I964" s="72"/>
      <c r="J964" s="72"/>
    </row>
    <row r="965" spans="1:10">
      <c r="A965" s="72"/>
      <c r="B965" s="72"/>
      <c r="C965" s="72"/>
      <c r="D965" s="72"/>
      <c r="E965" s="72"/>
      <c r="F965" s="72"/>
      <c r="G965" s="72"/>
      <c r="H965" s="72"/>
      <c r="I965" s="72"/>
      <c r="J965" s="72"/>
    </row>
    <row r="966" spans="1:10">
      <c r="A966" s="72"/>
      <c r="B966" s="72"/>
      <c r="C966" s="72"/>
      <c r="D966" s="72"/>
      <c r="E966" s="72"/>
      <c r="F966" s="72"/>
      <c r="G966" s="72"/>
      <c r="H966" s="72"/>
      <c r="I966" s="72"/>
      <c r="J966" s="72"/>
    </row>
    <row r="967" spans="1:10">
      <c r="A967" s="72"/>
      <c r="B967" s="72"/>
      <c r="C967" s="72"/>
      <c r="D967" s="72"/>
      <c r="E967" s="72"/>
      <c r="F967" s="72"/>
      <c r="G967" s="72"/>
      <c r="H967" s="72"/>
      <c r="I967" s="72"/>
      <c r="J967" s="72"/>
    </row>
    <row r="968" spans="1:10">
      <c r="A968" s="72"/>
      <c r="B968" s="72"/>
      <c r="C968" s="72"/>
      <c r="D968" s="72"/>
      <c r="E968" s="72"/>
      <c r="F968" s="72"/>
      <c r="G968" s="72"/>
      <c r="H968" s="72"/>
      <c r="I968" s="72"/>
      <c r="J968" s="72"/>
    </row>
    <row r="969" spans="1:10">
      <c r="A969" s="72"/>
      <c r="B969" s="72"/>
      <c r="C969" s="72"/>
      <c r="D969" s="72"/>
      <c r="E969" s="72"/>
      <c r="F969" s="72"/>
      <c r="G969" s="72"/>
      <c r="H969" s="72"/>
      <c r="I969" s="72"/>
      <c r="J969" s="72"/>
    </row>
    <row r="970" spans="1:10">
      <c r="A970" s="72"/>
      <c r="B970" s="72"/>
      <c r="C970" s="72"/>
      <c r="D970" s="72"/>
      <c r="E970" s="72"/>
      <c r="F970" s="72"/>
      <c r="G970" s="72"/>
      <c r="H970" s="72"/>
      <c r="I970" s="72"/>
      <c r="J970" s="72"/>
    </row>
    <row r="971" spans="1:10">
      <c r="A971" s="72"/>
      <c r="B971" s="72"/>
      <c r="C971" s="72"/>
      <c r="D971" s="72"/>
      <c r="E971" s="72"/>
      <c r="F971" s="72"/>
      <c r="G971" s="72"/>
      <c r="H971" s="72"/>
      <c r="I971" s="72"/>
      <c r="J971" s="72"/>
    </row>
    <row r="972" spans="1:10">
      <c r="A972" s="72"/>
      <c r="B972" s="72"/>
      <c r="C972" s="72"/>
      <c r="D972" s="72"/>
      <c r="E972" s="72"/>
      <c r="F972" s="72"/>
      <c r="G972" s="72"/>
      <c r="H972" s="72"/>
      <c r="I972" s="72"/>
      <c r="J972" s="72"/>
    </row>
    <row r="973" spans="1:10">
      <c r="A973" s="72"/>
      <c r="B973" s="72"/>
      <c r="C973" s="72"/>
      <c r="D973" s="72"/>
      <c r="E973" s="72"/>
      <c r="F973" s="72"/>
      <c r="G973" s="72"/>
      <c r="H973" s="72"/>
      <c r="I973" s="72"/>
      <c r="J973" s="72"/>
    </row>
    <row r="974" spans="1:10">
      <c r="A974" s="72"/>
      <c r="B974" s="72"/>
      <c r="C974" s="72"/>
      <c r="D974" s="72"/>
      <c r="E974" s="72"/>
      <c r="F974" s="72"/>
      <c r="G974" s="72"/>
      <c r="H974" s="72"/>
      <c r="I974" s="72"/>
      <c r="J974" s="72"/>
    </row>
    <row r="975" spans="1:10">
      <c r="A975" s="72"/>
      <c r="B975" s="72"/>
      <c r="C975" s="72"/>
      <c r="D975" s="72"/>
      <c r="E975" s="72"/>
      <c r="F975" s="72"/>
      <c r="G975" s="72"/>
      <c r="H975" s="72"/>
      <c r="I975" s="72"/>
      <c r="J975" s="72"/>
    </row>
    <row r="976" spans="1:10">
      <c r="A976" s="72"/>
      <c r="B976" s="72"/>
      <c r="C976" s="72"/>
      <c r="D976" s="72"/>
      <c r="E976" s="72"/>
      <c r="F976" s="72"/>
      <c r="G976" s="72"/>
      <c r="H976" s="72"/>
      <c r="I976" s="72"/>
      <c r="J976" s="72"/>
    </row>
    <row r="977" spans="1:10">
      <c r="A977" s="72"/>
      <c r="B977" s="72"/>
      <c r="C977" s="72"/>
      <c r="D977" s="72"/>
      <c r="E977" s="72"/>
      <c r="F977" s="72"/>
      <c r="G977" s="72"/>
      <c r="H977" s="72"/>
      <c r="I977" s="72"/>
      <c r="J977" s="72"/>
    </row>
    <row r="978" spans="1:10">
      <c r="A978" s="72"/>
      <c r="B978" s="72"/>
      <c r="C978" s="72"/>
      <c r="D978" s="72"/>
      <c r="E978" s="72"/>
      <c r="F978" s="72"/>
      <c r="G978" s="72"/>
      <c r="H978" s="72"/>
      <c r="I978" s="72"/>
      <c r="J978" s="72"/>
    </row>
    <row r="979" spans="1:10">
      <c r="A979" s="72"/>
      <c r="B979" s="72"/>
      <c r="C979" s="72"/>
      <c r="D979" s="72"/>
      <c r="E979" s="72"/>
      <c r="F979" s="72"/>
      <c r="G979" s="72"/>
      <c r="H979" s="72"/>
      <c r="I979" s="72"/>
      <c r="J979" s="72"/>
    </row>
    <row r="980" spans="1:10">
      <c r="A980" s="72"/>
      <c r="B980" s="72"/>
      <c r="C980" s="72"/>
      <c r="D980" s="72"/>
      <c r="E980" s="72"/>
      <c r="F980" s="72"/>
      <c r="G980" s="72"/>
      <c r="H980" s="72"/>
      <c r="I980" s="72"/>
      <c r="J980" s="72"/>
    </row>
    <row r="981" spans="1:10">
      <c r="A981" s="72"/>
      <c r="B981" s="72"/>
      <c r="C981" s="72"/>
      <c r="D981" s="72"/>
      <c r="E981" s="72"/>
      <c r="F981" s="72"/>
      <c r="G981" s="72"/>
      <c r="H981" s="72"/>
      <c r="I981" s="72"/>
      <c r="J981" s="72"/>
    </row>
    <row r="982" spans="1:10">
      <c r="A982" s="72"/>
      <c r="B982" s="72"/>
      <c r="C982" s="72"/>
      <c r="D982" s="72"/>
      <c r="E982" s="72"/>
      <c r="F982" s="72"/>
      <c r="G982" s="72"/>
      <c r="H982" s="72"/>
      <c r="I982" s="72"/>
      <c r="J982" s="72"/>
    </row>
    <row r="983" spans="1:10">
      <c r="A983" s="72"/>
      <c r="B983" s="72"/>
      <c r="C983" s="72"/>
      <c r="D983" s="72"/>
      <c r="E983" s="72"/>
      <c r="F983" s="72"/>
      <c r="G983" s="72"/>
      <c r="H983" s="72"/>
      <c r="I983" s="72"/>
      <c r="J983" s="72"/>
    </row>
    <row r="984" spans="1:10">
      <c r="A984" s="72"/>
      <c r="B984" s="72"/>
      <c r="C984" s="72"/>
      <c r="D984" s="72"/>
      <c r="E984" s="72"/>
      <c r="F984" s="72"/>
      <c r="G984" s="72"/>
      <c r="H984" s="72"/>
      <c r="I984" s="72"/>
      <c r="J984" s="72"/>
    </row>
    <row r="985" spans="1:10">
      <c r="A985" s="72"/>
      <c r="B985" s="72"/>
      <c r="C985" s="72"/>
      <c r="D985" s="72"/>
      <c r="E985" s="72"/>
      <c r="F985" s="72"/>
      <c r="G985" s="72"/>
      <c r="H985" s="72"/>
      <c r="I985" s="72"/>
      <c r="J985" s="72"/>
    </row>
    <row r="986" spans="1:10">
      <c r="A986" s="72"/>
      <c r="B986" s="72"/>
      <c r="C986" s="72"/>
      <c r="D986" s="72"/>
      <c r="E986" s="72"/>
      <c r="F986" s="72"/>
      <c r="G986" s="72"/>
      <c r="H986" s="72"/>
      <c r="I986" s="72"/>
      <c r="J986" s="72"/>
    </row>
    <row r="987" spans="1:10">
      <c r="A987" s="72"/>
      <c r="B987" s="72"/>
      <c r="C987" s="72"/>
      <c r="D987" s="72"/>
      <c r="E987" s="72"/>
      <c r="F987" s="72"/>
      <c r="G987" s="72"/>
      <c r="H987" s="72"/>
      <c r="I987" s="72"/>
      <c r="J987" s="72"/>
    </row>
    <row r="988" spans="1:10">
      <c r="A988" s="72"/>
      <c r="B988" s="72"/>
      <c r="C988" s="72"/>
      <c r="D988" s="72"/>
      <c r="E988" s="72"/>
      <c r="F988" s="72"/>
      <c r="G988" s="72"/>
      <c r="H988" s="72"/>
      <c r="I988" s="72"/>
      <c r="J988" s="72"/>
    </row>
    <row r="989" spans="1:10">
      <c r="A989" s="72"/>
      <c r="B989" s="72"/>
      <c r="C989" s="72"/>
      <c r="D989" s="72"/>
      <c r="E989" s="72"/>
      <c r="F989" s="72"/>
      <c r="G989" s="72"/>
      <c r="H989" s="72"/>
      <c r="I989" s="72"/>
      <c r="J989" s="72"/>
    </row>
    <row r="990" spans="1:10">
      <c r="A990" s="72"/>
      <c r="B990" s="72"/>
      <c r="C990" s="72"/>
      <c r="D990" s="72"/>
      <c r="E990" s="72"/>
      <c r="F990" s="72"/>
      <c r="G990" s="72"/>
      <c r="H990" s="72"/>
      <c r="I990" s="72"/>
      <c r="J990" s="72"/>
    </row>
    <row r="991" spans="1:10">
      <c r="A991" s="72"/>
      <c r="B991" s="72"/>
      <c r="C991" s="72"/>
      <c r="D991" s="72"/>
      <c r="E991" s="72"/>
      <c r="F991" s="72"/>
      <c r="G991" s="72"/>
      <c r="H991" s="72"/>
      <c r="I991" s="72"/>
      <c r="J991" s="72"/>
    </row>
    <row r="992" spans="1:10">
      <c r="A992" s="72"/>
      <c r="B992" s="72"/>
      <c r="C992" s="72"/>
      <c r="D992" s="72"/>
      <c r="E992" s="72"/>
      <c r="F992" s="72"/>
      <c r="G992" s="72"/>
      <c r="H992" s="72"/>
      <c r="I992" s="72"/>
      <c r="J992" s="72"/>
    </row>
    <row r="993" spans="1:10">
      <c r="A993" s="72"/>
      <c r="B993" s="72"/>
      <c r="C993" s="72"/>
      <c r="D993" s="72"/>
      <c r="E993" s="72"/>
      <c r="F993" s="72"/>
      <c r="G993" s="72"/>
      <c r="H993" s="72"/>
      <c r="I993" s="72"/>
      <c r="J993" s="72"/>
    </row>
    <row r="994" spans="1:10">
      <c r="A994" s="72"/>
      <c r="B994" s="72"/>
      <c r="C994" s="72"/>
      <c r="D994" s="72"/>
      <c r="E994" s="72"/>
      <c r="F994" s="72"/>
      <c r="G994" s="72"/>
      <c r="H994" s="72"/>
      <c r="I994" s="72"/>
      <c r="J994" s="72"/>
    </row>
    <row r="995" spans="1:10">
      <c r="A995" s="72"/>
      <c r="B995" s="72"/>
      <c r="C995" s="72"/>
      <c r="D995" s="72"/>
      <c r="E995" s="72"/>
      <c r="F995" s="72"/>
      <c r="G995" s="72"/>
      <c r="H995" s="72"/>
      <c r="I995" s="72"/>
      <c r="J995" s="72"/>
    </row>
    <row r="996" spans="1:10">
      <c r="A996" s="72"/>
      <c r="B996" s="72"/>
      <c r="C996" s="72"/>
      <c r="D996" s="72"/>
      <c r="E996" s="72"/>
      <c r="F996" s="72"/>
      <c r="G996" s="72"/>
      <c r="H996" s="72"/>
      <c r="I996" s="72"/>
      <c r="J996" s="72"/>
    </row>
    <row r="997" spans="1:10">
      <c r="A997" s="72"/>
      <c r="B997" s="72"/>
      <c r="C997" s="72"/>
      <c r="D997" s="72"/>
      <c r="E997" s="72"/>
      <c r="F997" s="72"/>
      <c r="G997" s="72"/>
      <c r="H997" s="72"/>
      <c r="I997" s="72"/>
      <c r="J997" s="72"/>
    </row>
    <row r="998" spans="1:10">
      <c r="A998" s="72"/>
      <c r="B998" s="72"/>
      <c r="C998" s="72"/>
      <c r="D998" s="72"/>
      <c r="E998" s="72"/>
      <c r="F998" s="72"/>
      <c r="G998" s="72"/>
      <c r="H998" s="72"/>
      <c r="I998" s="72"/>
      <c r="J998" s="72"/>
    </row>
    <row r="999" spans="1:10">
      <c r="A999" s="72"/>
      <c r="B999" s="72"/>
      <c r="C999" s="72"/>
      <c r="D999" s="72"/>
      <c r="E999" s="72"/>
      <c r="F999" s="72"/>
      <c r="G999" s="72"/>
      <c r="H999" s="72"/>
      <c r="I999" s="72"/>
      <c r="J999" s="72"/>
    </row>
    <row r="1000" spans="1:1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</row>
    <row r="1001" spans="1:10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</row>
    <row r="1002" spans="1:10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</row>
    <row r="1003" spans="1:10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</row>
    <row r="1004" spans="1:10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</row>
    <row r="1005" spans="1:10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</row>
    <row r="1006" spans="1:10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</row>
    <row r="1007" spans="1:10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</row>
    <row r="1008" spans="1:10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</row>
    <row r="1009" spans="1:10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</row>
    <row r="1010" spans="1:10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</row>
    <row r="1011" spans="1:10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</row>
    <row r="1012" spans="1:10">
      <c r="A1012" s="72"/>
      <c r="B1012" s="72"/>
      <c r="C1012" s="72"/>
      <c r="D1012" s="72"/>
      <c r="E1012" s="72"/>
      <c r="F1012" s="72"/>
      <c r="G1012" s="72"/>
      <c r="H1012" s="72"/>
      <c r="I1012" s="72"/>
      <c r="J1012" s="72"/>
    </row>
    <row r="1013" spans="1:10">
      <c r="A1013" s="72"/>
      <c r="B1013" s="72"/>
      <c r="C1013" s="72"/>
      <c r="D1013" s="72"/>
      <c r="E1013" s="72"/>
      <c r="F1013" s="72"/>
      <c r="G1013" s="72"/>
      <c r="H1013" s="72"/>
      <c r="I1013" s="72"/>
      <c r="J1013" s="72"/>
    </row>
    <row r="1014" spans="1:10">
      <c r="A1014" s="72"/>
      <c r="B1014" s="72"/>
      <c r="C1014" s="72"/>
      <c r="D1014" s="72"/>
      <c r="E1014" s="72"/>
      <c r="F1014" s="72"/>
      <c r="G1014" s="72"/>
      <c r="H1014" s="72"/>
      <c r="I1014" s="72"/>
      <c r="J1014" s="72"/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977"/>
  <sheetViews>
    <sheetView tabSelected="1" workbookViewId="0">
      <pane ySplit="15" topLeftCell="A16" activePane="bottomLeft" state="frozen"/>
      <selection pane="bottomLeft" activeCell="B2" sqref="B2"/>
    </sheetView>
  </sheetViews>
  <sheetFormatPr defaultColWidth="14.42578125" defaultRowHeight="15" customHeight="1"/>
  <sheetData>
    <row r="1" spans="1:20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0">
      <c r="A2" s="263" t="s">
        <v>250</v>
      </c>
      <c r="B2" s="124">
        <v>2000000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>
      <c r="A3" s="263" t="s">
        <v>251</v>
      </c>
      <c r="B3" s="124">
        <v>24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0">
      <c r="A4" s="263" t="s">
        <v>252</v>
      </c>
      <c r="B4" s="125">
        <v>0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0">
      <c r="A5" s="263" t="s">
        <v>253</v>
      </c>
      <c r="B5" s="264">
        <f>Hypotheses!F23</f>
        <v>9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</row>
    <row r="6" spans="1:20">
      <c r="A6" s="126" t="s">
        <v>254</v>
      </c>
      <c r="B6" s="127">
        <f>IF(B4=0,-PMT(B9,B3,B2),-PMT(B9,B3-B4,B2))</f>
        <v>92779.860456838724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</row>
    <row r="7" spans="1:20">
      <c r="A7" s="263" t="s">
        <v>255</v>
      </c>
      <c r="B7" s="128">
        <v>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</row>
    <row r="8" spans="1:20">
      <c r="A8" s="263" t="s">
        <v>256</v>
      </c>
      <c r="B8" s="129">
        <v>17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</row>
    <row r="9" spans="1:20">
      <c r="A9" s="72" t="s">
        <v>257</v>
      </c>
      <c r="B9" s="265">
        <f>((B5/100)*(1+B8/100)+B7/100)/12</f>
        <v>8.7749999999999998E-3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</row>
    <row r="10" spans="1:20">
      <c r="A10" s="263"/>
      <c r="B10" s="26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</row>
    <row r="11" spans="1:20">
      <c r="A11" s="266" t="s">
        <v>258</v>
      </c>
      <c r="B11" s="267">
        <f>IF(B4=0,0,(1+B8/100)*(B2*B5/100)/12)</f>
        <v>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</row>
    <row r="12" spans="1:20">
      <c r="A12" s="72" t="s">
        <v>259</v>
      </c>
      <c r="B12" s="268">
        <f>+B6*B3</f>
        <v>2226716.6509641293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</row>
    <row r="13" spans="1:20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</row>
    <row r="14" spans="1:20">
      <c r="A14" s="72" t="s">
        <v>260</v>
      </c>
      <c r="B14" s="72"/>
      <c r="C14" s="72" t="s">
        <v>261</v>
      </c>
      <c r="D14" s="72" t="s">
        <v>262</v>
      </c>
      <c r="E14" s="72" t="s">
        <v>263</v>
      </c>
      <c r="F14" s="72" t="s">
        <v>264</v>
      </c>
      <c r="G14" s="72" t="s">
        <v>265</v>
      </c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</row>
    <row r="15" spans="1:20">
      <c r="A15" s="269"/>
      <c r="B15" s="269"/>
      <c r="C15" s="269"/>
      <c r="D15" s="269"/>
      <c r="E15" s="269"/>
      <c r="F15" s="269"/>
      <c r="G15" s="270">
        <f>+B2</f>
        <v>2000000</v>
      </c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</row>
    <row r="16" spans="1:20">
      <c r="A16" s="271">
        <v>1</v>
      </c>
      <c r="B16" s="272"/>
      <c r="C16" s="273">
        <f t="shared" ref="C16:C39" si="0">+F16-D16-E16</f>
        <v>75229.860456838724</v>
      </c>
      <c r="D16" s="273">
        <f t="shared" ref="D16:D39" si="1">+G15*$B$5/1200</f>
        <v>15000</v>
      </c>
      <c r="E16" s="273">
        <f t="shared" ref="E16:E39" si="2">+D16*$B$8/100</f>
        <v>2550</v>
      </c>
      <c r="F16" s="273">
        <f t="shared" ref="F16:F39" si="3">+$B$6</f>
        <v>92779.860456838724</v>
      </c>
      <c r="G16" s="274">
        <f t="shared" ref="G16:G39" si="4">+G15-C16</f>
        <v>1924770.1395431613</v>
      </c>
      <c r="H16" s="72"/>
      <c r="I16" s="130"/>
      <c r="J16" s="130">
        <f>Hypotheses!G5</f>
        <v>2025</v>
      </c>
      <c r="K16" s="130">
        <f>Hypotheses!H5</f>
        <v>2026</v>
      </c>
      <c r="L16" s="72"/>
      <c r="M16" s="72"/>
      <c r="N16" s="72"/>
      <c r="O16" s="72"/>
      <c r="P16" s="72"/>
      <c r="Q16" s="72"/>
      <c r="R16" s="72"/>
      <c r="S16" s="72"/>
      <c r="T16" s="72"/>
    </row>
    <row r="17" spans="1:20">
      <c r="A17" s="275">
        <v>2</v>
      </c>
      <c r="B17" s="266"/>
      <c r="C17" s="276">
        <f t="shared" si="0"/>
        <v>75890.002482347481</v>
      </c>
      <c r="D17" s="276">
        <f t="shared" si="1"/>
        <v>14435.776046573708</v>
      </c>
      <c r="E17" s="276">
        <f t="shared" si="2"/>
        <v>2454.0819279175303</v>
      </c>
      <c r="F17" s="276">
        <f t="shared" si="3"/>
        <v>92779.860456838724</v>
      </c>
      <c r="G17" s="277">
        <f t="shared" si="4"/>
        <v>1848880.1370608138</v>
      </c>
      <c r="H17" s="72"/>
      <c r="I17" s="131" t="s">
        <v>266</v>
      </c>
      <c r="J17" s="132">
        <f>SUM(C16:C27)</f>
        <v>947627.62177505717</v>
      </c>
      <c r="K17" s="132">
        <f>SUM(C28:C39)</f>
        <v>1052372.3782249428</v>
      </c>
      <c r="L17" s="72"/>
      <c r="M17" s="72"/>
      <c r="N17" s="72"/>
      <c r="O17" s="72"/>
      <c r="P17" s="72"/>
      <c r="Q17" s="72"/>
      <c r="R17" s="72"/>
      <c r="S17" s="72"/>
      <c r="T17" s="72"/>
    </row>
    <row r="18" spans="1:20">
      <c r="A18" s="275">
        <v>3</v>
      </c>
      <c r="B18" s="266"/>
      <c r="C18" s="276">
        <f t="shared" si="0"/>
        <v>76555.937254130084</v>
      </c>
      <c r="D18" s="276">
        <f t="shared" si="1"/>
        <v>13866.601027956103</v>
      </c>
      <c r="E18" s="276">
        <f t="shared" si="2"/>
        <v>2357.3221747525376</v>
      </c>
      <c r="F18" s="278">
        <f t="shared" si="3"/>
        <v>92779.860456838724</v>
      </c>
      <c r="G18" s="277">
        <f t="shared" si="4"/>
        <v>1772324.1998066837</v>
      </c>
      <c r="H18" s="72"/>
      <c r="I18" s="131" t="s">
        <v>267</v>
      </c>
      <c r="J18" s="132">
        <f>SUM(D16:D27)+SUM(E16:E27)</f>
        <v>165730.70370700752</v>
      </c>
      <c r="K18" s="132">
        <f>SUM(D28:D39)+SUM(E28:E39)</f>
        <v>60985.94725712169</v>
      </c>
      <c r="L18" s="72"/>
      <c r="M18" s="72"/>
      <c r="N18" s="72"/>
      <c r="O18" s="72"/>
      <c r="P18" s="72"/>
      <c r="Q18" s="72"/>
      <c r="R18" s="72"/>
      <c r="S18" s="72"/>
      <c r="T18" s="72"/>
    </row>
    <row r="19" spans="1:20">
      <c r="A19" s="275">
        <v>4</v>
      </c>
      <c r="B19" s="266"/>
      <c r="C19" s="276">
        <f t="shared" si="0"/>
        <v>77227.715603535078</v>
      </c>
      <c r="D19" s="276">
        <f t="shared" si="1"/>
        <v>13292.431498550128</v>
      </c>
      <c r="E19" s="276">
        <f t="shared" si="2"/>
        <v>2259.7133547535218</v>
      </c>
      <c r="F19" s="276">
        <f t="shared" si="3"/>
        <v>92779.860456838724</v>
      </c>
      <c r="G19" s="277">
        <f t="shared" si="4"/>
        <v>1695096.4842031486</v>
      </c>
      <c r="H19" s="72"/>
      <c r="I19" s="339"/>
      <c r="J19" s="339"/>
      <c r="K19" s="72"/>
      <c r="L19" s="72"/>
      <c r="M19" s="72"/>
      <c r="N19" s="72"/>
      <c r="O19" s="72"/>
      <c r="P19" s="72"/>
      <c r="Q19" s="72"/>
      <c r="R19" s="72"/>
      <c r="S19" s="72"/>
      <c r="T19" s="72"/>
    </row>
    <row r="20" spans="1:20">
      <c r="A20" s="275">
        <v>5</v>
      </c>
      <c r="B20" s="266"/>
      <c r="C20" s="276">
        <f t="shared" si="0"/>
        <v>77905.388807956086</v>
      </c>
      <c r="D20" s="276">
        <f t="shared" si="1"/>
        <v>12713.223631523615</v>
      </c>
      <c r="E20" s="276">
        <f t="shared" si="2"/>
        <v>2161.2480173590143</v>
      </c>
      <c r="F20" s="278">
        <f t="shared" si="3"/>
        <v>92779.860456838724</v>
      </c>
      <c r="G20" s="277">
        <f t="shared" si="4"/>
        <v>1617191.0953951925</v>
      </c>
      <c r="H20" s="72"/>
      <c r="I20" s="339"/>
      <c r="J20" s="339"/>
      <c r="K20" s="72"/>
      <c r="L20" s="72"/>
      <c r="M20" s="72"/>
      <c r="N20" s="72"/>
      <c r="O20" s="72"/>
      <c r="P20" s="72"/>
      <c r="Q20" s="72"/>
      <c r="R20" s="72"/>
      <c r="S20" s="72"/>
      <c r="T20" s="72"/>
    </row>
    <row r="21" spans="1:20">
      <c r="A21" s="275">
        <v>6</v>
      </c>
      <c r="B21" s="266"/>
      <c r="C21" s="276">
        <f t="shared" si="0"/>
        <v>78589.008594745916</v>
      </c>
      <c r="D21" s="276">
        <f t="shared" si="1"/>
        <v>12128.933215463943</v>
      </c>
      <c r="E21" s="276">
        <f t="shared" si="2"/>
        <v>2061.9186466288702</v>
      </c>
      <c r="F21" s="276">
        <f t="shared" si="3"/>
        <v>92779.860456838724</v>
      </c>
      <c r="G21" s="277">
        <f t="shared" si="4"/>
        <v>1538602.0868004465</v>
      </c>
      <c r="H21" s="72"/>
      <c r="I21" s="339"/>
      <c r="J21" s="339"/>
      <c r="K21" s="72"/>
      <c r="L21" s="72"/>
      <c r="M21" s="72"/>
      <c r="N21" s="72"/>
      <c r="O21" s="72"/>
      <c r="P21" s="72"/>
      <c r="Q21" s="72"/>
      <c r="R21" s="72"/>
      <c r="S21" s="72"/>
      <c r="T21" s="72"/>
    </row>
    <row r="22" spans="1:20">
      <c r="A22" s="275">
        <v>7</v>
      </c>
      <c r="B22" s="266"/>
      <c r="C22" s="276">
        <f t="shared" si="0"/>
        <v>79278.627145164792</v>
      </c>
      <c r="D22" s="276">
        <f t="shared" si="1"/>
        <v>11539.515651003348</v>
      </c>
      <c r="E22" s="276">
        <f t="shared" si="2"/>
        <v>1961.7176606705691</v>
      </c>
      <c r="F22" s="278">
        <f t="shared" si="3"/>
        <v>92779.860456838724</v>
      </c>
      <c r="G22" s="277">
        <f t="shared" si="4"/>
        <v>1459323.4596552816</v>
      </c>
      <c r="H22" s="72"/>
      <c r="I22" s="339"/>
      <c r="J22" s="339"/>
      <c r="K22" s="72"/>
      <c r="L22" s="72"/>
      <c r="M22" s="72"/>
      <c r="N22" s="72"/>
      <c r="O22" s="72"/>
      <c r="P22" s="72"/>
      <c r="Q22" s="72"/>
      <c r="R22" s="72"/>
      <c r="S22" s="72"/>
      <c r="T22" s="72"/>
    </row>
    <row r="23" spans="1:20">
      <c r="A23" s="275">
        <v>8</v>
      </c>
      <c r="B23" s="266"/>
      <c r="C23" s="276">
        <f t="shared" si="0"/>
        <v>79974.297098363633</v>
      </c>
      <c r="D23" s="276">
        <f t="shared" si="1"/>
        <v>10944.925947414611</v>
      </c>
      <c r="E23" s="276">
        <f t="shared" si="2"/>
        <v>1860.6374110604841</v>
      </c>
      <c r="F23" s="276">
        <f t="shared" si="3"/>
        <v>92779.860456838724</v>
      </c>
      <c r="G23" s="277">
        <f t="shared" si="4"/>
        <v>1379349.1625569179</v>
      </c>
      <c r="H23" s="72"/>
      <c r="I23" s="339"/>
      <c r="J23" s="339"/>
      <c r="K23" s="72"/>
      <c r="L23" s="72"/>
      <c r="M23" s="72"/>
      <c r="N23" s="72"/>
      <c r="O23" s="72"/>
      <c r="P23" s="72"/>
      <c r="Q23" s="72"/>
      <c r="R23" s="72"/>
      <c r="S23" s="72"/>
      <c r="T23" s="72"/>
    </row>
    <row r="24" spans="1:20">
      <c r="A24" s="275">
        <v>9</v>
      </c>
      <c r="B24" s="266"/>
      <c r="C24" s="276">
        <f t="shared" si="0"/>
        <v>80676.071555401766</v>
      </c>
      <c r="D24" s="276">
        <f t="shared" si="1"/>
        <v>10345.118719176884</v>
      </c>
      <c r="E24" s="276">
        <f t="shared" si="2"/>
        <v>1758.6701822600703</v>
      </c>
      <c r="F24" s="278">
        <f t="shared" si="3"/>
        <v>92779.860456838724</v>
      </c>
      <c r="G24" s="277">
        <f t="shared" si="4"/>
        <v>1298673.0910015162</v>
      </c>
      <c r="H24" s="72"/>
      <c r="I24" s="339"/>
      <c r="J24" s="339"/>
      <c r="K24" s="72"/>
      <c r="L24" s="72"/>
      <c r="M24" s="72"/>
      <c r="N24" s="72"/>
      <c r="O24" s="72"/>
      <c r="P24" s="72"/>
      <c r="Q24" s="72"/>
      <c r="R24" s="72"/>
      <c r="S24" s="72"/>
      <c r="T24" s="72"/>
    </row>
    <row r="25" spans="1:20">
      <c r="A25" s="275">
        <v>10</v>
      </c>
      <c r="B25" s="266"/>
      <c r="C25" s="276">
        <f t="shared" si="0"/>
        <v>81384.004083300417</v>
      </c>
      <c r="D25" s="276">
        <f t="shared" si="1"/>
        <v>9740.0481825113711</v>
      </c>
      <c r="E25" s="276">
        <f t="shared" si="2"/>
        <v>1655.8081910269332</v>
      </c>
      <c r="F25" s="276">
        <f t="shared" si="3"/>
        <v>92779.860456838724</v>
      </c>
      <c r="G25" s="277">
        <f t="shared" si="4"/>
        <v>1217289.0869182157</v>
      </c>
      <c r="H25" s="72"/>
      <c r="I25" s="339"/>
      <c r="J25" s="339"/>
      <c r="K25" s="72"/>
      <c r="L25" s="72"/>
      <c r="M25" s="72"/>
      <c r="N25" s="72"/>
      <c r="O25" s="72"/>
      <c r="P25" s="72"/>
      <c r="Q25" s="72"/>
      <c r="R25" s="72"/>
      <c r="S25" s="72"/>
      <c r="T25" s="72"/>
    </row>
    <row r="26" spans="1:20">
      <c r="A26" s="275">
        <v>11</v>
      </c>
      <c r="B26" s="266"/>
      <c r="C26" s="276">
        <f t="shared" si="0"/>
        <v>82098.148719131379</v>
      </c>
      <c r="D26" s="276">
        <f t="shared" si="1"/>
        <v>9129.6681518866189</v>
      </c>
      <c r="E26" s="276">
        <f t="shared" si="2"/>
        <v>1552.0435858207252</v>
      </c>
      <c r="F26" s="278">
        <f t="shared" si="3"/>
        <v>92779.860456838724</v>
      </c>
      <c r="G26" s="277">
        <f t="shared" si="4"/>
        <v>1135190.9381990843</v>
      </c>
      <c r="H26" s="72"/>
      <c r="I26" s="339"/>
      <c r="J26" s="339"/>
      <c r="K26" s="72"/>
      <c r="L26" s="72"/>
      <c r="M26" s="72"/>
      <c r="N26" s="72"/>
      <c r="O26" s="72"/>
      <c r="P26" s="72"/>
      <c r="Q26" s="72"/>
      <c r="R26" s="72"/>
      <c r="S26" s="72"/>
      <c r="T26" s="72"/>
    </row>
    <row r="27" spans="1:20">
      <c r="A27" s="279">
        <v>12</v>
      </c>
      <c r="B27" s="280"/>
      <c r="C27" s="281">
        <f t="shared" si="0"/>
        <v>82818.559974141754</v>
      </c>
      <c r="D27" s="281">
        <f t="shared" si="1"/>
        <v>8513.9320364931318</v>
      </c>
      <c r="E27" s="281">
        <f t="shared" si="2"/>
        <v>1447.3684462038323</v>
      </c>
      <c r="F27" s="281">
        <f t="shared" si="3"/>
        <v>92779.860456838724</v>
      </c>
      <c r="G27" s="282">
        <f t="shared" si="4"/>
        <v>1052372.3782249426</v>
      </c>
      <c r="H27" s="72"/>
      <c r="I27" s="339"/>
      <c r="J27" s="339"/>
      <c r="K27" s="72"/>
      <c r="L27" s="72"/>
      <c r="M27" s="72"/>
      <c r="N27" s="72"/>
      <c r="O27" s="72"/>
      <c r="P27" s="72"/>
      <c r="Q27" s="72"/>
      <c r="R27" s="72"/>
      <c r="S27" s="72"/>
      <c r="T27" s="72"/>
    </row>
    <row r="28" spans="1:20">
      <c r="A28" s="271">
        <v>13</v>
      </c>
      <c r="B28" s="272"/>
      <c r="C28" s="273">
        <f t="shared" si="0"/>
        <v>83545.292837914851</v>
      </c>
      <c r="D28" s="273">
        <f t="shared" si="1"/>
        <v>7892.7928366870701</v>
      </c>
      <c r="E28" s="273">
        <f t="shared" si="2"/>
        <v>1341.7747822368019</v>
      </c>
      <c r="F28" s="283">
        <f t="shared" si="3"/>
        <v>92779.860456838724</v>
      </c>
      <c r="G28" s="274">
        <f t="shared" si="4"/>
        <v>968827.08538702771</v>
      </c>
      <c r="H28" s="72"/>
      <c r="I28" s="339"/>
      <c r="J28" s="339"/>
      <c r="K28" s="72"/>
      <c r="L28" s="72"/>
      <c r="M28" s="72"/>
      <c r="N28" s="72"/>
      <c r="O28" s="72"/>
      <c r="P28" s="72"/>
      <c r="Q28" s="72"/>
      <c r="R28" s="72"/>
      <c r="S28" s="72"/>
      <c r="T28" s="72"/>
    </row>
    <row r="29" spans="1:20">
      <c r="A29" s="275">
        <v>14</v>
      </c>
      <c r="B29" s="266"/>
      <c r="C29" s="276">
        <f t="shared" si="0"/>
        <v>84278.402782567558</v>
      </c>
      <c r="D29" s="276">
        <f t="shared" si="1"/>
        <v>7266.2031404027075</v>
      </c>
      <c r="E29" s="276">
        <f t="shared" si="2"/>
        <v>1235.2545338684604</v>
      </c>
      <c r="F29" s="276">
        <f t="shared" si="3"/>
        <v>92779.860456838724</v>
      </c>
      <c r="G29" s="277">
        <f t="shared" si="4"/>
        <v>884548.68260446016</v>
      </c>
      <c r="H29" s="72"/>
      <c r="I29" s="339"/>
      <c r="J29" s="339"/>
      <c r="K29" s="72"/>
      <c r="L29" s="72"/>
      <c r="M29" s="72"/>
      <c r="N29" s="72"/>
      <c r="O29" s="72"/>
      <c r="P29" s="72"/>
      <c r="Q29" s="72"/>
      <c r="R29" s="72"/>
      <c r="S29" s="72"/>
      <c r="T29" s="72"/>
    </row>
    <row r="30" spans="1:20">
      <c r="A30" s="275">
        <v>15</v>
      </c>
      <c r="B30" s="266"/>
      <c r="C30" s="276">
        <f t="shared" si="0"/>
        <v>85017.945766984587</v>
      </c>
      <c r="D30" s="276">
        <f t="shared" si="1"/>
        <v>6634.1151195334514</v>
      </c>
      <c r="E30" s="276">
        <f t="shared" si="2"/>
        <v>1127.7995703206868</v>
      </c>
      <c r="F30" s="278">
        <f t="shared" si="3"/>
        <v>92779.860456838724</v>
      </c>
      <c r="G30" s="277">
        <f t="shared" si="4"/>
        <v>799530.73683747556</v>
      </c>
      <c r="H30" s="72"/>
      <c r="I30" s="339"/>
      <c r="J30" s="339"/>
      <c r="K30" s="72"/>
      <c r="L30" s="72"/>
      <c r="M30" s="72"/>
      <c r="N30" s="72"/>
      <c r="O30" s="72"/>
      <c r="P30" s="72"/>
      <c r="Q30" s="72"/>
      <c r="R30" s="72"/>
      <c r="S30" s="72"/>
      <c r="T30" s="72"/>
    </row>
    <row r="31" spans="1:20">
      <c r="A31" s="275">
        <v>16</v>
      </c>
      <c r="B31" s="266"/>
      <c r="C31" s="276">
        <f t="shared" si="0"/>
        <v>85763.978241089877</v>
      </c>
      <c r="D31" s="276">
        <f t="shared" si="1"/>
        <v>5996.4805262810669</v>
      </c>
      <c r="E31" s="276">
        <f t="shared" si="2"/>
        <v>1019.4016894677814</v>
      </c>
      <c r="F31" s="276">
        <f t="shared" si="3"/>
        <v>92779.860456838724</v>
      </c>
      <c r="G31" s="277">
        <f t="shared" si="4"/>
        <v>713766.75859638571</v>
      </c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</row>
    <row r="32" spans="1:20">
      <c r="A32" s="275">
        <v>17</v>
      </c>
      <c r="B32" s="266"/>
      <c r="C32" s="276">
        <f t="shared" si="0"/>
        <v>86516.557150155451</v>
      </c>
      <c r="D32" s="276">
        <f t="shared" si="1"/>
        <v>5353.2506894728931</v>
      </c>
      <c r="E32" s="276">
        <f t="shared" si="2"/>
        <v>910.05261721039176</v>
      </c>
      <c r="F32" s="278">
        <f t="shared" si="3"/>
        <v>92779.860456838724</v>
      </c>
      <c r="G32" s="277">
        <f t="shared" si="4"/>
        <v>627250.20144623029</v>
      </c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</row>
    <row r="33" spans="1:20">
      <c r="A33" s="275">
        <v>18</v>
      </c>
      <c r="B33" s="266"/>
      <c r="C33" s="276">
        <f t="shared" si="0"/>
        <v>87275.739939148043</v>
      </c>
      <c r="D33" s="276">
        <f t="shared" si="1"/>
        <v>4704.3765108467278</v>
      </c>
      <c r="E33" s="276">
        <f t="shared" si="2"/>
        <v>799.74400684394379</v>
      </c>
      <c r="F33" s="276">
        <f t="shared" si="3"/>
        <v>92779.860456838724</v>
      </c>
      <c r="G33" s="277">
        <f t="shared" si="4"/>
        <v>539974.46150708222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</row>
    <row r="34" spans="1:20">
      <c r="A34" s="275">
        <v>19</v>
      </c>
      <c r="B34" s="266"/>
      <c r="C34" s="276">
        <f t="shared" si="0"/>
        <v>88041.584557114082</v>
      </c>
      <c r="D34" s="276">
        <f t="shared" si="1"/>
        <v>4049.8084613031165</v>
      </c>
      <c r="E34" s="276">
        <f t="shared" si="2"/>
        <v>688.46743842152978</v>
      </c>
      <c r="F34" s="278">
        <f t="shared" si="3"/>
        <v>92779.860456838724</v>
      </c>
      <c r="G34" s="277">
        <f t="shared" si="4"/>
        <v>451932.87694996817</v>
      </c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</row>
    <row r="35" spans="1:20">
      <c r="A35" s="275">
        <v>20</v>
      </c>
      <c r="B35" s="266"/>
      <c r="C35" s="276">
        <f t="shared" si="0"/>
        <v>88814.149461602748</v>
      </c>
      <c r="D35" s="276">
        <f t="shared" si="1"/>
        <v>3389.4965771247612</v>
      </c>
      <c r="E35" s="276">
        <f t="shared" si="2"/>
        <v>576.2144181112094</v>
      </c>
      <c r="F35" s="276">
        <f t="shared" si="3"/>
        <v>92779.860456838724</v>
      </c>
      <c r="G35" s="277">
        <f t="shared" si="4"/>
        <v>363118.72748836543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</row>
    <row r="36" spans="1:20">
      <c r="A36" s="275">
        <v>21</v>
      </c>
      <c r="B36" s="266"/>
      <c r="C36" s="276">
        <f t="shared" si="0"/>
        <v>89593.493623128321</v>
      </c>
      <c r="D36" s="276">
        <f t="shared" si="1"/>
        <v>2723.390456162741</v>
      </c>
      <c r="E36" s="276">
        <f t="shared" si="2"/>
        <v>462.976377547666</v>
      </c>
      <c r="F36" s="278">
        <f t="shared" si="3"/>
        <v>92779.860456838724</v>
      </c>
      <c r="G36" s="277">
        <f t="shared" si="4"/>
        <v>273525.2338652371</v>
      </c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</row>
    <row r="37" spans="1:20">
      <c r="A37" s="275">
        <v>22</v>
      </c>
      <c r="B37" s="266"/>
      <c r="C37" s="276">
        <f t="shared" si="0"/>
        <v>90379.676529671269</v>
      </c>
      <c r="D37" s="276">
        <f t="shared" si="1"/>
        <v>2051.4392539892779</v>
      </c>
      <c r="E37" s="276">
        <f t="shared" si="2"/>
        <v>348.74467317817727</v>
      </c>
      <c r="F37" s="276">
        <f t="shared" si="3"/>
        <v>92779.860456838724</v>
      </c>
      <c r="G37" s="277">
        <f t="shared" si="4"/>
        <v>183145.55733556583</v>
      </c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</row>
    <row r="38" spans="1:20">
      <c r="A38" s="275">
        <v>23</v>
      </c>
      <c r="B38" s="266"/>
      <c r="C38" s="276">
        <f t="shared" si="0"/>
        <v>91172.758191219124</v>
      </c>
      <c r="D38" s="276">
        <f t="shared" si="1"/>
        <v>1373.5916800167436</v>
      </c>
      <c r="E38" s="276">
        <f t="shared" si="2"/>
        <v>233.51058560284639</v>
      </c>
      <c r="F38" s="278">
        <f t="shared" si="3"/>
        <v>92779.860456838724</v>
      </c>
      <c r="G38" s="277">
        <f t="shared" si="4"/>
        <v>91972.799144346704</v>
      </c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</row>
    <row r="39" spans="1:20">
      <c r="A39" s="279">
        <v>24</v>
      </c>
      <c r="B39" s="280"/>
      <c r="C39" s="281">
        <f t="shared" si="0"/>
        <v>91972.799144347067</v>
      </c>
      <c r="D39" s="281">
        <f t="shared" si="1"/>
        <v>689.79599358260032</v>
      </c>
      <c r="E39" s="281">
        <f t="shared" si="2"/>
        <v>117.26531890904205</v>
      </c>
      <c r="F39" s="281">
        <f t="shared" si="3"/>
        <v>92779.860456838724</v>
      </c>
      <c r="G39" s="282">
        <f t="shared" si="4"/>
        <v>-3.637978807091713E-10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</row>
    <row r="40" spans="1:20">
      <c r="A40" s="72"/>
      <c r="B40" s="72"/>
      <c r="C40" s="284"/>
      <c r="D40" s="284"/>
      <c r="E40" s="284"/>
      <c r="F40" s="284"/>
      <c r="G40" s="28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</row>
    <row r="41" spans="1:20">
      <c r="A41" s="72"/>
      <c r="B41" s="72"/>
      <c r="C41" s="268">
        <f t="shared" ref="C41:F41" si="5">SUM(C16:C39)</f>
        <v>2000000.0000000005</v>
      </c>
      <c r="D41" s="268">
        <f t="shared" si="5"/>
        <v>193774.91535395655</v>
      </c>
      <c r="E41" s="268">
        <f t="shared" si="5"/>
        <v>32941.735610172625</v>
      </c>
      <c r="F41" s="268">
        <f t="shared" si="5"/>
        <v>2226716.6509641293</v>
      </c>
      <c r="G41" s="28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</row>
    <row r="42" spans="1:20">
      <c r="A42" s="72"/>
      <c r="B42" s="72"/>
      <c r="C42" s="284"/>
      <c r="D42" s="284"/>
      <c r="E42" s="284"/>
      <c r="F42" s="284"/>
      <c r="G42" s="28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</row>
    <row r="43" spans="1:20">
      <c r="A43" s="72"/>
      <c r="B43" s="72"/>
      <c r="C43" s="284"/>
      <c r="D43" s="284"/>
      <c r="E43" s="284"/>
      <c r="F43" s="284"/>
      <c r="G43" s="28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</row>
    <row r="44" spans="1:20">
      <c r="A44" s="72"/>
      <c r="B44" s="72"/>
      <c r="C44" s="284"/>
      <c r="D44" s="284"/>
      <c r="E44" s="284"/>
      <c r="F44" s="284"/>
      <c r="G44" s="284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</row>
    <row r="45" spans="1:20">
      <c r="A45" s="72"/>
      <c r="B45" s="72"/>
      <c r="C45" s="284"/>
      <c r="D45" s="284"/>
      <c r="E45" s="284"/>
      <c r="F45" s="284"/>
      <c r="G45" s="284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</row>
    <row r="46" spans="1:20">
      <c r="A46" s="72"/>
      <c r="B46" s="72"/>
      <c r="C46" s="284"/>
      <c r="D46" s="284"/>
      <c r="E46" s="284"/>
      <c r="F46" s="284"/>
      <c r="G46" s="28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</row>
    <row r="47" spans="1:20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</row>
    <row r="48" spans="1:20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</row>
    <row r="49" spans="1:20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</row>
    <row r="50" spans="1:2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</row>
    <row r="51" spans="1:20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</row>
    <row r="52" spans="1:20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</row>
    <row r="53" spans="1:20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</row>
    <row r="54" spans="1:20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</row>
    <row r="55" spans="1:20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</row>
    <row r="56" spans="1:20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</row>
    <row r="57" spans="1:20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</row>
    <row r="58" spans="1:20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</row>
    <row r="59" spans="1:20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</row>
    <row r="60" spans="1:2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</row>
    <row r="61" spans="1:20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</row>
    <row r="62" spans="1:20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</row>
    <row r="63" spans="1:20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</row>
    <row r="64" spans="1:20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</row>
    <row r="65" spans="1:20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</row>
    <row r="66" spans="1:20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</row>
    <row r="67" spans="1:20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</row>
    <row r="68" spans="1:20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</row>
    <row r="69" spans="1:20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</row>
    <row r="70" spans="1:2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</row>
    <row r="71" spans="1:20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</row>
    <row r="72" spans="1:20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</row>
    <row r="73" spans="1:20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</row>
    <row r="74" spans="1:20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</row>
    <row r="75" spans="1:20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</row>
    <row r="76" spans="1:20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</row>
    <row r="77" spans="1:20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</row>
    <row r="78" spans="1:20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</row>
    <row r="79" spans="1:20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</row>
    <row r="80" spans="1:2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</row>
    <row r="81" spans="1:20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</row>
    <row r="82" spans="1:20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</row>
    <row r="83" spans="1:20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</row>
    <row r="84" spans="1:20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</row>
    <row r="85" spans="1:20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</row>
    <row r="86" spans="1:20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</row>
    <row r="87" spans="1:20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</row>
    <row r="88" spans="1:20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</row>
    <row r="89" spans="1:20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</row>
    <row r="90" spans="1:2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</row>
    <row r="91" spans="1:20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</row>
    <row r="92" spans="1:20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</row>
    <row r="93" spans="1:20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</row>
    <row r="94" spans="1:20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</row>
    <row r="95" spans="1:20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</row>
    <row r="96" spans="1:20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</row>
    <row r="97" spans="1:20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</row>
    <row r="98" spans="1:20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</row>
    <row r="99" spans="1:20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</row>
    <row r="100" spans="1:2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</row>
    <row r="101" spans="1:20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</row>
    <row r="102" spans="1:20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</row>
    <row r="103" spans="1:20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</row>
    <row r="104" spans="1:20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</row>
    <row r="105" spans="1:20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</row>
    <row r="106" spans="1:20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</row>
    <row r="107" spans="1:20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</row>
    <row r="108" spans="1:20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</row>
    <row r="109" spans="1:20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</row>
    <row r="110" spans="1:2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</row>
    <row r="111" spans="1:20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</row>
    <row r="112" spans="1:20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</row>
    <row r="113" spans="1:20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</row>
    <row r="114" spans="1:20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</row>
    <row r="115" spans="1:20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</row>
    <row r="116" spans="1:20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</row>
    <row r="117" spans="1:20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</row>
    <row r="118" spans="1:20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</row>
    <row r="119" spans="1:20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</row>
    <row r="120" spans="1: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</row>
    <row r="121" spans="1:20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</row>
    <row r="122" spans="1:20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</row>
    <row r="123" spans="1:20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</row>
    <row r="124" spans="1:20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</row>
    <row r="125" spans="1:20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</row>
    <row r="126" spans="1:20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</row>
    <row r="127" spans="1:20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</row>
    <row r="128" spans="1:20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</row>
    <row r="129" spans="1:20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</row>
    <row r="130" spans="1:2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</row>
    <row r="131" spans="1:20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</row>
    <row r="132" spans="1:20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</row>
    <row r="133" spans="1:20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</row>
    <row r="134" spans="1:20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</row>
    <row r="135" spans="1:20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</row>
    <row r="136" spans="1:20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</row>
    <row r="137" spans="1:20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</row>
    <row r="138" spans="1:20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</row>
    <row r="139" spans="1:20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</row>
    <row r="140" spans="1:2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</row>
    <row r="141" spans="1:20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</row>
    <row r="142" spans="1:20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</row>
    <row r="143" spans="1:20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</row>
    <row r="144" spans="1:20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</row>
    <row r="145" spans="1:20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</row>
    <row r="146" spans="1:20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</row>
    <row r="147" spans="1:20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</row>
    <row r="148" spans="1:20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</row>
    <row r="149" spans="1:20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</row>
    <row r="150" spans="1:2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</row>
    <row r="151" spans="1:20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</row>
    <row r="152" spans="1:20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</row>
    <row r="153" spans="1:20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</row>
    <row r="154" spans="1:20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</row>
    <row r="155" spans="1:20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</row>
    <row r="156" spans="1:20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</row>
    <row r="157" spans="1:20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</row>
    <row r="158" spans="1:20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</row>
    <row r="159" spans="1:20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</row>
    <row r="160" spans="1:2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</row>
    <row r="161" spans="1:20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</row>
    <row r="162" spans="1:20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</row>
    <row r="163" spans="1:20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</row>
    <row r="164" spans="1:20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</row>
    <row r="165" spans="1:20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</row>
    <row r="166" spans="1:20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</row>
    <row r="167" spans="1:20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</row>
    <row r="168" spans="1:20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</row>
    <row r="169" spans="1:20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</row>
    <row r="170" spans="1:2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</row>
    <row r="171" spans="1:20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</row>
    <row r="172" spans="1:20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</row>
    <row r="173" spans="1:20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</row>
    <row r="174" spans="1:20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</row>
    <row r="175" spans="1:20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</row>
    <row r="176" spans="1:20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</row>
    <row r="177" spans="1:20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</row>
    <row r="178" spans="1:20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</row>
    <row r="179" spans="1:20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</row>
    <row r="180" spans="1:2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</row>
    <row r="181" spans="1:20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</row>
    <row r="182" spans="1:20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</row>
    <row r="183" spans="1:20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</row>
    <row r="184" spans="1:20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</row>
    <row r="185" spans="1:20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</row>
    <row r="186" spans="1:20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</row>
    <row r="187" spans="1:20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</row>
    <row r="188" spans="1:20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</row>
    <row r="189" spans="1:20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</row>
    <row r="190" spans="1:2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</row>
    <row r="191" spans="1:20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</row>
    <row r="192" spans="1:20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</row>
    <row r="193" spans="1:20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</row>
    <row r="194" spans="1:20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</row>
    <row r="195" spans="1:20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</row>
    <row r="196" spans="1:20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</row>
    <row r="197" spans="1:20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</row>
    <row r="198" spans="1:20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</row>
    <row r="199" spans="1:20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</row>
    <row r="200" spans="1:2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</row>
    <row r="201" spans="1:20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</row>
    <row r="202" spans="1:20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</row>
    <row r="203" spans="1:20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</row>
    <row r="204" spans="1:20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</row>
    <row r="205" spans="1:20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</row>
    <row r="206" spans="1:20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</row>
    <row r="207" spans="1:20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</row>
    <row r="208" spans="1:20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</row>
    <row r="209" spans="1:20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</row>
    <row r="210" spans="1:2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</row>
    <row r="211" spans="1:20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</row>
    <row r="212" spans="1:20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</row>
    <row r="213" spans="1:20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</row>
    <row r="214" spans="1:20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</row>
    <row r="215" spans="1:20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</row>
    <row r="216" spans="1:20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</row>
    <row r="217" spans="1:20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</row>
    <row r="218" spans="1:20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</row>
    <row r="219" spans="1:20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</row>
    <row r="220" spans="1: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</row>
    <row r="221" spans="1:20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</row>
    <row r="222" spans="1:20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</row>
    <row r="223" spans="1:20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</row>
    <row r="224" spans="1:20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</row>
    <row r="225" spans="1:20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</row>
    <row r="226" spans="1:20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</row>
    <row r="227" spans="1:20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</row>
    <row r="228" spans="1:20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</row>
    <row r="229" spans="1:20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</row>
    <row r="230" spans="1:2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</row>
    <row r="231" spans="1:20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</row>
    <row r="232" spans="1:20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</row>
    <row r="233" spans="1:20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</row>
    <row r="234" spans="1:20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</row>
    <row r="235" spans="1:20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</row>
    <row r="236" spans="1:20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</row>
    <row r="237" spans="1:20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</row>
    <row r="238" spans="1:20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</row>
    <row r="239" spans="1:20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</row>
    <row r="240" spans="1:2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</row>
    <row r="241" spans="1:20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</row>
    <row r="242" spans="1:20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</row>
    <row r="243" spans="1:20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</row>
    <row r="244" spans="1:20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</row>
    <row r="245" spans="1:20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</row>
    <row r="246" spans="1:20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</row>
    <row r="247" spans="1:20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</row>
    <row r="248" spans="1:20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</row>
    <row r="249" spans="1:20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</row>
    <row r="250" spans="1:2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</row>
    <row r="251" spans="1:20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</row>
    <row r="253" spans="1:20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</row>
    <row r="254" spans="1:20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</row>
    <row r="255" spans="1:20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</row>
    <row r="256" spans="1:20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</row>
    <row r="257" spans="1:20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</row>
    <row r="258" spans="1:20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</row>
    <row r="259" spans="1:20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</row>
    <row r="260" spans="1:2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</row>
    <row r="261" spans="1:20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</row>
    <row r="262" spans="1:20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</row>
    <row r="263" spans="1:20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</row>
    <row r="264" spans="1:20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</row>
    <row r="265" spans="1:20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</row>
    <row r="266" spans="1:20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</row>
    <row r="267" spans="1:20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</row>
    <row r="268" spans="1:20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</row>
    <row r="269" spans="1:20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</row>
    <row r="270" spans="1:2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</row>
    <row r="271" spans="1:20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</row>
    <row r="272" spans="1:20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</row>
    <row r="273" spans="1:20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</row>
    <row r="274" spans="1:20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</row>
    <row r="275" spans="1:20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</row>
    <row r="276" spans="1:20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</row>
    <row r="277" spans="1:20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</row>
    <row r="278" spans="1:20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</row>
    <row r="279" spans="1:20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</row>
    <row r="280" spans="1:2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</row>
    <row r="281" spans="1:20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</row>
    <row r="282" spans="1:20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</row>
    <row r="283" spans="1:20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</row>
    <row r="284" spans="1:20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</row>
    <row r="285" spans="1:20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</row>
    <row r="286" spans="1:20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</row>
    <row r="287" spans="1:20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</row>
    <row r="288" spans="1:20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</row>
    <row r="289" spans="1:20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</row>
    <row r="290" spans="1:2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</row>
    <row r="291" spans="1:20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</row>
    <row r="292" spans="1:20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</row>
    <row r="293" spans="1:20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</row>
    <row r="294" spans="1:20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</row>
    <row r="295" spans="1:20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</row>
    <row r="296" spans="1:20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</row>
    <row r="297" spans="1:20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</row>
    <row r="298" spans="1:20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</row>
    <row r="299" spans="1:20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</row>
    <row r="300" spans="1:2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</row>
    <row r="301" spans="1:20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</row>
    <row r="302" spans="1:20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</row>
    <row r="303" spans="1:20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</row>
    <row r="304" spans="1:20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</row>
    <row r="305" spans="1:20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</row>
    <row r="306" spans="1:20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</row>
    <row r="307" spans="1:20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</row>
    <row r="308" spans="1:20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</row>
    <row r="309" spans="1:20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</row>
    <row r="310" spans="1:2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</row>
    <row r="311" spans="1:20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</row>
    <row r="312" spans="1:20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</row>
    <row r="313" spans="1:20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</row>
    <row r="314" spans="1:20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</row>
    <row r="315" spans="1:20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</row>
    <row r="316" spans="1:20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</row>
    <row r="317" spans="1:20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</row>
    <row r="318" spans="1:20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</row>
    <row r="319" spans="1:20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</row>
    <row r="320" spans="1: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</row>
    <row r="321" spans="1:20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</row>
    <row r="322" spans="1:20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</row>
    <row r="323" spans="1:20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</row>
    <row r="324" spans="1:20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</row>
    <row r="325" spans="1:20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</row>
    <row r="326" spans="1:20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</row>
    <row r="327" spans="1:20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</row>
    <row r="328" spans="1:20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</row>
    <row r="329" spans="1:20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</row>
    <row r="330" spans="1:2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</row>
    <row r="331" spans="1:20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</row>
    <row r="332" spans="1:20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</row>
    <row r="333" spans="1:20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</row>
    <row r="334" spans="1:20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</row>
    <row r="335" spans="1:20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</row>
    <row r="336" spans="1:20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</row>
    <row r="337" spans="1:20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</row>
    <row r="338" spans="1:20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</row>
    <row r="339" spans="1:20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</row>
    <row r="340" spans="1:2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</row>
    <row r="341" spans="1:20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</row>
    <row r="342" spans="1:20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</row>
    <row r="343" spans="1:20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</row>
    <row r="344" spans="1:20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</row>
    <row r="345" spans="1:20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</row>
    <row r="346" spans="1:20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</row>
    <row r="347" spans="1:20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</row>
    <row r="348" spans="1:20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</row>
    <row r="349" spans="1:20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</row>
    <row r="350" spans="1:2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</row>
    <row r="351" spans="1:20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</row>
    <row r="352" spans="1:20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</row>
    <row r="353" spans="1:20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</row>
    <row r="354" spans="1:20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</row>
    <row r="355" spans="1:20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</row>
    <row r="356" spans="1:20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</row>
    <row r="357" spans="1:20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</row>
    <row r="358" spans="1:20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</row>
    <row r="359" spans="1:20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</row>
    <row r="360" spans="1:2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</row>
    <row r="361" spans="1:20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</row>
    <row r="362" spans="1:20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</row>
    <row r="363" spans="1:20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</row>
    <row r="364" spans="1:20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</row>
    <row r="365" spans="1:20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</row>
    <row r="366" spans="1:20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</row>
    <row r="367" spans="1:20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</row>
    <row r="368" spans="1:20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</row>
    <row r="369" spans="1:20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</row>
    <row r="370" spans="1:2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</row>
    <row r="371" spans="1:20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</row>
    <row r="372" spans="1:20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</row>
    <row r="373" spans="1:20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</row>
    <row r="374" spans="1:20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</row>
    <row r="375" spans="1:20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</row>
    <row r="376" spans="1:20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</row>
    <row r="377" spans="1:20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</row>
    <row r="378" spans="1:20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</row>
    <row r="379" spans="1:20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</row>
    <row r="380" spans="1:2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</row>
    <row r="381" spans="1:20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</row>
    <row r="382" spans="1:20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</row>
    <row r="383" spans="1:20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</row>
    <row r="384" spans="1:20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</row>
    <row r="385" spans="1:20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</row>
    <row r="386" spans="1:20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</row>
    <row r="387" spans="1:20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</row>
    <row r="388" spans="1:20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</row>
    <row r="389" spans="1:20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</row>
    <row r="390" spans="1:2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</row>
    <row r="391" spans="1:20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</row>
    <row r="392" spans="1:20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</row>
    <row r="393" spans="1:20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</row>
    <row r="394" spans="1:20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</row>
    <row r="395" spans="1:20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</row>
    <row r="396" spans="1:20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</row>
    <row r="397" spans="1:20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</row>
    <row r="398" spans="1:20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</row>
    <row r="399" spans="1:20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</row>
    <row r="400" spans="1:2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</row>
    <row r="401" spans="1:20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</row>
    <row r="402" spans="1:20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</row>
    <row r="403" spans="1:20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</row>
    <row r="404" spans="1:20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</row>
    <row r="405" spans="1:20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</row>
    <row r="406" spans="1:20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</row>
    <row r="407" spans="1:20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</row>
    <row r="408" spans="1:20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</row>
    <row r="409" spans="1:20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</row>
    <row r="410" spans="1:2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</row>
    <row r="411" spans="1:20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</row>
    <row r="412" spans="1:20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</row>
    <row r="413" spans="1:20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</row>
    <row r="414" spans="1:20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</row>
    <row r="415" spans="1:20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</row>
    <row r="416" spans="1:20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</row>
    <row r="417" spans="1:20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</row>
    <row r="418" spans="1:20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</row>
    <row r="419" spans="1:20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</row>
    <row r="420" spans="1: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</row>
    <row r="421" spans="1:20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</row>
    <row r="422" spans="1:20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</row>
    <row r="423" spans="1:20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</row>
    <row r="424" spans="1:20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</row>
    <row r="425" spans="1:20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</row>
    <row r="426" spans="1:20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</row>
    <row r="427" spans="1:20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</row>
    <row r="428" spans="1:20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</row>
    <row r="429" spans="1:20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</row>
    <row r="430" spans="1:2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</row>
    <row r="431" spans="1:20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</row>
    <row r="432" spans="1:20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</row>
    <row r="433" spans="1:20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</row>
    <row r="434" spans="1:20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</row>
    <row r="435" spans="1:20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</row>
    <row r="436" spans="1:20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</row>
    <row r="437" spans="1:20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</row>
    <row r="438" spans="1:20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</row>
    <row r="439" spans="1:20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</row>
    <row r="440" spans="1:2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</row>
    <row r="441" spans="1:20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</row>
    <row r="442" spans="1:20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</row>
    <row r="443" spans="1:20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</row>
    <row r="444" spans="1:20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</row>
    <row r="445" spans="1:20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</row>
    <row r="446" spans="1:20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</row>
    <row r="447" spans="1:20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</row>
    <row r="448" spans="1:20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</row>
    <row r="449" spans="1:20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</row>
    <row r="450" spans="1:2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</row>
    <row r="451" spans="1:20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</row>
    <row r="452" spans="1:20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</row>
    <row r="453" spans="1:20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</row>
    <row r="454" spans="1:20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</row>
    <row r="455" spans="1:20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</row>
    <row r="456" spans="1:20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</row>
    <row r="457" spans="1:20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</row>
    <row r="458" spans="1:20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</row>
    <row r="459" spans="1:20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</row>
    <row r="460" spans="1:2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</row>
    <row r="461" spans="1:20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</row>
    <row r="462" spans="1:20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</row>
    <row r="463" spans="1:20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</row>
    <row r="464" spans="1:20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</row>
    <row r="465" spans="1:20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</row>
    <row r="466" spans="1:20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</row>
    <row r="467" spans="1:20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</row>
    <row r="468" spans="1:20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</row>
    <row r="469" spans="1:20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</row>
    <row r="470" spans="1:2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</row>
    <row r="471" spans="1:20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</row>
    <row r="472" spans="1:20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</row>
    <row r="473" spans="1:20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</row>
    <row r="474" spans="1:20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</row>
    <row r="475" spans="1:20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</row>
    <row r="476" spans="1:20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</row>
    <row r="477" spans="1:20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</row>
    <row r="478" spans="1:20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</row>
    <row r="479" spans="1:20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</row>
    <row r="480" spans="1:2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</row>
    <row r="481" spans="1:20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</row>
    <row r="482" spans="1:20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</row>
    <row r="483" spans="1:20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</row>
    <row r="484" spans="1:20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</row>
    <row r="485" spans="1:20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</row>
    <row r="486" spans="1:20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</row>
    <row r="487" spans="1:20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</row>
    <row r="488" spans="1:20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</row>
    <row r="489" spans="1:20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</row>
    <row r="490" spans="1:2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</row>
    <row r="491" spans="1:20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</row>
    <row r="492" spans="1:20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</row>
    <row r="493" spans="1:20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</row>
    <row r="494" spans="1:20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</row>
    <row r="495" spans="1:20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</row>
    <row r="496" spans="1:20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</row>
    <row r="497" spans="1:20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</row>
    <row r="498" spans="1:20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</row>
    <row r="499" spans="1:20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</row>
    <row r="500" spans="1:2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</row>
    <row r="501" spans="1:20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</row>
    <row r="502" spans="1:20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</row>
    <row r="503" spans="1:20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</row>
    <row r="504" spans="1:20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</row>
    <row r="505" spans="1:20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</row>
    <row r="506" spans="1:20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</row>
    <row r="507" spans="1:20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</row>
    <row r="508" spans="1:20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</row>
    <row r="509" spans="1:20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</row>
    <row r="510" spans="1:2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</row>
    <row r="511" spans="1:20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</row>
    <row r="512" spans="1:20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</row>
    <row r="513" spans="1:20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</row>
    <row r="514" spans="1:20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</row>
    <row r="515" spans="1:20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</row>
    <row r="516" spans="1:20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</row>
    <row r="517" spans="1:20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</row>
    <row r="518" spans="1:20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</row>
    <row r="519" spans="1:20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</row>
    <row r="520" spans="1: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</row>
    <row r="521" spans="1:20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</row>
    <row r="522" spans="1:20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</row>
    <row r="523" spans="1:20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</row>
    <row r="524" spans="1:20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</row>
    <row r="525" spans="1:20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</row>
    <row r="526" spans="1:20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</row>
    <row r="527" spans="1:20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</row>
    <row r="528" spans="1:20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</row>
    <row r="529" spans="1:20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</row>
    <row r="530" spans="1:2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</row>
    <row r="531" spans="1:20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</row>
    <row r="532" spans="1:20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</row>
    <row r="533" spans="1:20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</row>
    <row r="534" spans="1:20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</row>
    <row r="535" spans="1:20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</row>
    <row r="536" spans="1:20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</row>
    <row r="537" spans="1:20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</row>
    <row r="538" spans="1:20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</row>
    <row r="539" spans="1:20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</row>
    <row r="540" spans="1:2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</row>
    <row r="541" spans="1:20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</row>
    <row r="542" spans="1:20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</row>
    <row r="543" spans="1:20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</row>
    <row r="544" spans="1:20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</row>
    <row r="545" spans="1:20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</row>
    <row r="546" spans="1:20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</row>
    <row r="547" spans="1:20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</row>
    <row r="548" spans="1:20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</row>
    <row r="549" spans="1:20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</row>
    <row r="550" spans="1:2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</row>
    <row r="551" spans="1:20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</row>
    <row r="552" spans="1:20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</row>
    <row r="553" spans="1:20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</row>
    <row r="554" spans="1:20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</row>
    <row r="555" spans="1:20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</row>
    <row r="556" spans="1:20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</row>
    <row r="557" spans="1:20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</row>
    <row r="558" spans="1:20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</row>
    <row r="559" spans="1:20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</row>
    <row r="560" spans="1:2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</row>
    <row r="561" spans="1:20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</row>
    <row r="562" spans="1:20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</row>
    <row r="563" spans="1:20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</row>
    <row r="564" spans="1:20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</row>
    <row r="565" spans="1:20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</row>
    <row r="566" spans="1:20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</row>
    <row r="567" spans="1:20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</row>
    <row r="568" spans="1:20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</row>
    <row r="569" spans="1:20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</row>
    <row r="570" spans="1:2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</row>
    <row r="571" spans="1:20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</row>
    <row r="572" spans="1:20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</row>
    <row r="573" spans="1:20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</row>
    <row r="574" spans="1:20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</row>
    <row r="575" spans="1:20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</row>
    <row r="576" spans="1:20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</row>
    <row r="577" spans="1:20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</row>
    <row r="578" spans="1:20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</row>
    <row r="579" spans="1:20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</row>
    <row r="580" spans="1:2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</row>
    <row r="581" spans="1:20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</row>
    <row r="582" spans="1:20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</row>
    <row r="583" spans="1:20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</row>
    <row r="584" spans="1:20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</row>
    <row r="585" spans="1:20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</row>
    <row r="586" spans="1:20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</row>
    <row r="587" spans="1:20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</row>
    <row r="588" spans="1:20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</row>
    <row r="589" spans="1:20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</row>
    <row r="590" spans="1:2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</row>
    <row r="591" spans="1:20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</row>
    <row r="592" spans="1:20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</row>
    <row r="593" spans="1:20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</row>
    <row r="594" spans="1:20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</row>
    <row r="595" spans="1:20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</row>
    <row r="596" spans="1:20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</row>
    <row r="597" spans="1:20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</row>
    <row r="598" spans="1:20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</row>
    <row r="599" spans="1:20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</row>
    <row r="600" spans="1:2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</row>
    <row r="601" spans="1:20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</row>
    <row r="602" spans="1:20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</row>
    <row r="603" spans="1:20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</row>
    <row r="604" spans="1:20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</row>
    <row r="605" spans="1:20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</row>
    <row r="606" spans="1:20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</row>
    <row r="607" spans="1:20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</row>
    <row r="608" spans="1:20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</row>
    <row r="609" spans="1:20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</row>
    <row r="610" spans="1:2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</row>
    <row r="611" spans="1:20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</row>
    <row r="612" spans="1:20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</row>
    <row r="613" spans="1:20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</row>
    <row r="614" spans="1:20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</row>
    <row r="615" spans="1:20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</row>
    <row r="616" spans="1:20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</row>
    <row r="617" spans="1:20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</row>
    <row r="618" spans="1:20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</row>
    <row r="619" spans="1:20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</row>
    <row r="620" spans="1: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</row>
    <row r="621" spans="1:20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</row>
    <row r="622" spans="1:20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</row>
    <row r="623" spans="1:20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</row>
    <row r="624" spans="1:20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</row>
    <row r="625" spans="1:20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</row>
    <row r="626" spans="1:20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</row>
    <row r="627" spans="1:20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</row>
    <row r="628" spans="1:20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</row>
    <row r="629" spans="1:20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</row>
    <row r="630" spans="1:2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</row>
    <row r="631" spans="1:20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</row>
    <row r="632" spans="1:20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</row>
    <row r="633" spans="1:20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</row>
    <row r="634" spans="1:20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</row>
    <row r="635" spans="1:20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</row>
    <row r="636" spans="1:20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</row>
    <row r="637" spans="1:20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</row>
    <row r="638" spans="1:20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</row>
    <row r="639" spans="1:20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</row>
    <row r="640" spans="1:2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</row>
    <row r="641" spans="1:20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</row>
    <row r="642" spans="1:20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</row>
    <row r="643" spans="1:20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</row>
    <row r="644" spans="1:20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</row>
    <row r="645" spans="1:20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</row>
    <row r="646" spans="1:20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</row>
    <row r="647" spans="1:20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</row>
    <row r="648" spans="1:20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</row>
    <row r="649" spans="1:20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</row>
    <row r="650" spans="1:2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</row>
    <row r="651" spans="1:20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</row>
    <row r="652" spans="1:20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</row>
    <row r="653" spans="1:20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</row>
    <row r="654" spans="1:20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</row>
    <row r="655" spans="1:20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</row>
    <row r="656" spans="1:20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</row>
    <row r="657" spans="1:20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</row>
    <row r="658" spans="1:20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</row>
    <row r="659" spans="1:20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</row>
    <row r="660" spans="1:2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</row>
    <row r="661" spans="1:20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</row>
    <row r="662" spans="1:20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</row>
    <row r="663" spans="1:20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</row>
    <row r="664" spans="1:20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</row>
    <row r="665" spans="1:20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</row>
    <row r="666" spans="1:20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</row>
    <row r="667" spans="1:20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</row>
    <row r="668" spans="1:20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</row>
    <row r="669" spans="1:20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</row>
    <row r="670" spans="1:2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</row>
    <row r="671" spans="1:20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</row>
    <row r="672" spans="1:20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</row>
    <row r="673" spans="1:20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</row>
    <row r="674" spans="1:20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</row>
    <row r="675" spans="1:20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</row>
    <row r="676" spans="1:20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</row>
    <row r="677" spans="1:20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</row>
    <row r="678" spans="1:20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</row>
    <row r="679" spans="1:20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</row>
    <row r="680" spans="1:2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</row>
    <row r="681" spans="1:20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</row>
    <row r="682" spans="1:20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</row>
    <row r="683" spans="1:20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</row>
    <row r="684" spans="1:20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</row>
    <row r="685" spans="1:20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</row>
    <row r="686" spans="1:20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</row>
    <row r="687" spans="1:20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</row>
    <row r="688" spans="1:20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</row>
    <row r="689" spans="1:20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</row>
    <row r="690" spans="1:2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</row>
    <row r="691" spans="1:20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</row>
    <row r="692" spans="1:20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</row>
    <row r="693" spans="1:20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</row>
    <row r="694" spans="1:20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</row>
    <row r="695" spans="1:20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</row>
    <row r="696" spans="1:20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</row>
    <row r="697" spans="1:20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</row>
    <row r="698" spans="1:20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</row>
    <row r="699" spans="1:20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</row>
    <row r="700" spans="1:2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</row>
    <row r="701" spans="1:20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</row>
    <row r="702" spans="1:20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</row>
    <row r="703" spans="1:20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</row>
    <row r="704" spans="1:20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</row>
    <row r="705" spans="1:20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</row>
    <row r="706" spans="1:20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</row>
    <row r="707" spans="1:20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</row>
    <row r="708" spans="1:20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</row>
    <row r="709" spans="1:20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</row>
    <row r="710" spans="1:2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</row>
    <row r="711" spans="1:20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</row>
    <row r="712" spans="1:20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</row>
    <row r="713" spans="1:20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</row>
    <row r="714" spans="1:20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</row>
    <row r="715" spans="1:20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</row>
    <row r="716" spans="1:20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</row>
    <row r="717" spans="1:20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</row>
    <row r="718" spans="1:20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</row>
    <row r="719" spans="1:20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</row>
    <row r="720" spans="1: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</row>
    <row r="721" spans="1:20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</row>
    <row r="722" spans="1:20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</row>
    <row r="723" spans="1:20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</row>
    <row r="724" spans="1:20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</row>
    <row r="725" spans="1:20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</row>
    <row r="726" spans="1:20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</row>
    <row r="727" spans="1:20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</row>
    <row r="728" spans="1:20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</row>
    <row r="729" spans="1:20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</row>
    <row r="730" spans="1:2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</row>
    <row r="731" spans="1:20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</row>
    <row r="732" spans="1:20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</row>
    <row r="733" spans="1:20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</row>
    <row r="734" spans="1:20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</row>
    <row r="735" spans="1:20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</row>
    <row r="736" spans="1:20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</row>
    <row r="737" spans="1:20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</row>
    <row r="738" spans="1:20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</row>
    <row r="739" spans="1:20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</row>
    <row r="740" spans="1:2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</row>
    <row r="741" spans="1:20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</row>
    <row r="742" spans="1:20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</row>
    <row r="743" spans="1:20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</row>
    <row r="744" spans="1:20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</row>
    <row r="745" spans="1:20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</row>
    <row r="746" spans="1:20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</row>
    <row r="747" spans="1:20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</row>
    <row r="748" spans="1:20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</row>
    <row r="749" spans="1:20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</row>
    <row r="750" spans="1:2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</row>
    <row r="751" spans="1:20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</row>
    <row r="752" spans="1:20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</row>
    <row r="753" spans="1:20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</row>
    <row r="754" spans="1:20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</row>
    <row r="755" spans="1:20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</row>
    <row r="756" spans="1:20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</row>
    <row r="757" spans="1:20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</row>
    <row r="758" spans="1:20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</row>
    <row r="759" spans="1:20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</row>
    <row r="760" spans="1:2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</row>
    <row r="761" spans="1:20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</row>
    <row r="762" spans="1:20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</row>
    <row r="763" spans="1:20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</row>
    <row r="764" spans="1:20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</row>
    <row r="765" spans="1:20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</row>
    <row r="766" spans="1:20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</row>
    <row r="767" spans="1:20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</row>
    <row r="768" spans="1:20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</row>
    <row r="769" spans="1:20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</row>
    <row r="770" spans="1:2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</row>
    <row r="771" spans="1:20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</row>
    <row r="772" spans="1:20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</row>
    <row r="773" spans="1:20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</row>
    <row r="774" spans="1:20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</row>
    <row r="775" spans="1:20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</row>
    <row r="776" spans="1:20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</row>
    <row r="777" spans="1:20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</row>
    <row r="778" spans="1:20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</row>
    <row r="779" spans="1:20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</row>
    <row r="780" spans="1:2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</row>
    <row r="781" spans="1:20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</row>
    <row r="782" spans="1:20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</row>
    <row r="783" spans="1:20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</row>
    <row r="784" spans="1:20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</row>
    <row r="785" spans="1:20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</row>
    <row r="786" spans="1:20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</row>
    <row r="787" spans="1:20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</row>
    <row r="788" spans="1:20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</row>
    <row r="789" spans="1:20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</row>
    <row r="790" spans="1:2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</row>
    <row r="791" spans="1:20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</row>
    <row r="792" spans="1:20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</row>
    <row r="793" spans="1:20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</row>
    <row r="794" spans="1:20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</row>
    <row r="795" spans="1:20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</row>
    <row r="796" spans="1:20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</row>
    <row r="797" spans="1:20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</row>
    <row r="798" spans="1:20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</row>
    <row r="799" spans="1:20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</row>
    <row r="800" spans="1:2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</row>
    <row r="801" spans="1:20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</row>
    <row r="802" spans="1:20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</row>
    <row r="803" spans="1:20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</row>
    <row r="804" spans="1:20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</row>
    <row r="805" spans="1:20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</row>
    <row r="806" spans="1:20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</row>
    <row r="807" spans="1:20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</row>
    <row r="808" spans="1:20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</row>
    <row r="809" spans="1:20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</row>
    <row r="810" spans="1:2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</row>
    <row r="811" spans="1:20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</row>
    <row r="812" spans="1:20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</row>
    <row r="813" spans="1:20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</row>
    <row r="814" spans="1:20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</row>
    <row r="815" spans="1:20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</row>
    <row r="816" spans="1:20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</row>
    <row r="817" spans="1:20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</row>
    <row r="818" spans="1:20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</row>
    <row r="819" spans="1:20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</row>
    <row r="820" spans="1: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</row>
    <row r="821" spans="1:20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</row>
    <row r="822" spans="1:20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</row>
    <row r="823" spans="1:20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</row>
    <row r="824" spans="1:20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</row>
    <row r="825" spans="1:20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</row>
    <row r="826" spans="1:20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</row>
    <row r="827" spans="1:20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</row>
    <row r="828" spans="1:20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</row>
    <row r="829" spans="1:20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</row>
    <row r="830" spans="1:2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</row>
    <row r="831" spans="1:20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</row>
    <row r="832" spans="1:20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</row>
    <row r="833" spans="1:20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</row>
    <row r="834" spans="1:20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</row>
    <row r="835" spans="1:20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</row>
    <row r="836" spans="1:20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</row>
    <row r="837" spans="1:20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</row>
    <row r="838" spans="1:20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</row>
    <row r="839" spans="1:20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</row>
    <row r="840" spans="1:2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</row>
    <row r="841" spans="1:20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</row>
    <row r="842" spans="1:20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</row>
    <row r="843" spans="1:20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</row>
    <row r="844" spans="1:20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</row>
    <row r="845" spans="1:20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</row>
    <row r="846" spans="1:20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</row>
    <row r="847" spans="1:20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</row>
    <row r="848" spans="1:20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</row>
    <row r="849" spans="1:20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</row>
    <row r="850" spans="1:2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</row>
    <row r="851" spans="1:20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</row>
    <row r="852" spans="1:20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</row>
    <row r="853" spans="1:20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</row>
    <row r="854" spans="1:20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</row>
    <row r="855" spans="1:20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</row>
    <row r="856" spans="1:20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</row>
    <row r="857" spans="1:20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</row>
    <row r="858" spans="1:20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</row>
    <row r="859" spans="1:20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</row>
    <row r="860" spans="1:2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</row>
    <row r="861" spans="1:20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</row>
    <row r="862" spans="1:20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</row>
    <row r="863" spans="1:20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</row>
    <row r="864" spans="1:20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</row>
    <row r="865" spans="1:20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</row>
    <row r="866" spans="1:20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</row>
    <row r="867" spans="1:20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</row>
    <row r="868" spans="1:20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</row>
    <row r="869" spans="1:20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</row>
    <row r="870" spans="1:2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</row>
    <row r="871" spans="1:20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</row>
    <row r="872" spans="1:20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</row>
    <row r="873" spans="1:20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</row>
    <row r="874" spans="1:20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</row>
    <row r="875" spans="1:20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</row>
    <row r="876" spans="1:20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</row>
    <row r="877" spans="1:20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</row>
    <row r="878" spans="1:20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</row>
    <row r="879" spans="1:20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</row>
    <row r="880" spans="1:2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</row>
    <row r="881" spans="1:20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</row>
    <row r="882" spans="1:20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</row>
    <row r="883" spans="1:20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</row>
    <row r="884" spans="1:20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</row>
    <row r="885" spans="1:20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</row>
    <row r="886" spans="1:20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</row>
    <row r="887" spans="1:20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</row>
    <row r="888" spans="1:20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</row>
    <row r="889" spans="1:20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</row>
    <row r="890" spans="1:2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</row>
    <row r="891" spans="1:20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</row>
    <row r="892" spans="1:20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</row>
    <row r="893" spans="1:20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</row>
    <row r="894" spans="1:20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</row>
    <row r="895" spans="1:20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</row>
    <row r="896" spans="1:20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</row>
    <row r="897" spans="1:20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</row>
    <row r="898" spans="1:20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</row>
    <row r="899" spans="1:20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</row>
    <row r="900" spans="1:2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</row>
    <row r="901" spans="1:20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</row>
    <row r="902" spans="1:20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</row>
    <row r="903" spans="1:20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</row>
    <row r="904" spans="1:20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</row>
    <row r="905" spans="1:20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</row>
    <row r="906" spans="1:20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</row>
    <row r="907" spans="1:20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</row>
    <row r="908" spans="1:20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</row>
    <row r="909" spans="1:20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</row>
    <row r="910" spans="1:2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</row>
    <row r="911" spans="1:20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</row>
    <row r="912" spans="1:20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</row>
    <row r="913" spans="1:20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</row>
    <row r="914" spans="1:20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</row>
    <row r="915" spans="1:20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</row>
    <row r="916" spans="1:20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</row>
    <row r="917" spans="1:20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</row>
    <row r="918" spans="1:20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</row>
    <row r="919" spans="1:20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</row>
    <row r="920" spans="1: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</row>
    <row r="921" spans="1:20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</row>
    <row r="922" spans="1:20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</row>
    <row r="923" spans="1:20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</row>
    <row r="924" spans="1:20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</row>
    <row r="925" spans="1:20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</row>
    <row r="926" spans="1:20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</row>
    <row r="927" spans="1:20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</row>
    <row r="928" spans="1:20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</row>
    <row r="929" spans="1:20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</row>
    <row r="930" spans="1:2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</row>
    <row r="931" spans="1:20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</row>
    <row r="932" spans="1:20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</row>
    <row r="933" spans="1:20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</row>
    <row r="934" spans="1:20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</row>
    <row r="935" spans="1:20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</row>
    <row r="936" spans="1:20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</row>
    <row r="937" spans="1:20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</row>
    <row r="938" spans="1:20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</row>
    <row r="939" spans="1:20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</row>
    <row r="940" spans="1:2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</row>
    <row r="941" spans="1:20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</row>
    <row r="942" spans="1:20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</row>
    <row r="943" spans="1:20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</row>
    <row r="944" spans="1:20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</row>
    <row r="945" spans="1:20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</row>
    <row r="946" spans="1:20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</row>
    <row r="947" spans="1:20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</row>
    <row r="948" spans="1:20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</row>
    <row r="949" spans="1:20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</row>
    <row r="950" spans="1:2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</row>
    <row r="951" spans="1:20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</row>
    <row r="952" spans="1:20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</row>
    <row r="953" spans="1:20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</row>
    <row r="954" spans="1:20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</row>
    <row r="955" spans="1:20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</row>
    <row r="956" spans="1:20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</row>
    <row r="957" spans="1:20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</row>
    <row r="958" spans="1:20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</row>
    <row r="959" spans="1:20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</row>
    <row r="960" spans="1:2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</row>
    <row r="961" spans="1:20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</row>
    <row r="962" spans="1:20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</row>
    <row r="963" spans="1:20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</row>
    <row r="964" spans="1:20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</row>
    <row r="965" spans="1:20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</row>
    <row r="966" spans="1:20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</row>
    <row r="967" spans="1:20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</row>
    <row r="968" spans="1:20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</row>
    <row r="969" spans="1:20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</row>
    <row r="970" spans="1:2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</row>
    <row r="971" spans="1:20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</row>
    <row r="972" spans="1:20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</row>
    <row r="973" spans="1:20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</row>
    <row r="974" spans="1:20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</row>
    <row r="975" spans="1:20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</row>
    <row r="976" spans="1:20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</row>
    <row r="977" spans="1:20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F79D-200A-4495-B7B5-67E7894385C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pageSetUpPr fitToPage="1"/>
  </sheetPr>
  <dimension ref="A1:Y1000"/>
  <sheetViews>
    <sheetView showGridLines="0" topLeftCell="A20" workbookViewId="0">
      <selection activeCell="C23" sqref="C23:H25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27.85546875" customWidth="1"/>
    <col min="4" max="4" width="18.28515625" customWidth="1"/>
    <col min="5" max="8" width="19.28515625" customWidth="1"/>
    <col min="9" max="25" width="12.28515625" customWidth="1"/>
  </cols>
  <sheetData>
    <row r="1" spans="1:25" ht="13.5" customHeight="1">
      <c r="A1" s="219"/>
      <c r="B1" s="220"/>
      <c r="C1" s="52"/>
      <c r="D1" s="133"/>
      <c r="E1" s="133"/>
      <c r="F1" s="133"/>
      <c r="G1" s="133"/>
      <c r="H1" s="133"/>
      <c r="I1" s="52"/>
      <c r="J1" s="52"/>
      <c r="K1" s="52"/>
      <c r="L1" s="52"/>
      <c r="M1" s="52"/>
      <c r="N1" s="52"/>
      <c r="O1" s="52"/>
      <c r="P1" s="339"/>
      <c r="Q1" s="339"/>
      <c r="R1" s="339"/>
      <c r="S1" s="339"/>
      <c r="T1" s="339"/>
      <c r="U1" s="339"/>
      <c r="V1" s="339"/>
      <c r="W1" s="339"/>
      <c r="X1" s="339"/>
      <c r="Y1" s="339"/>
    </row>
    <row r="2" spans="1:25" ht="13.5" customHeight="1">
      <c r="A2" s="219"/>
      <c r="B2" s="220"/>
      <c r="C2" s="378" t="s">
        <v>211</v>
      </c>
      <c r="D2" s="346"/>
      <c r="E2" s="346"/>
      <c r="F2" s="346"/>
      <c r="G2" s="346"/>
      <c r="H2" s="346"/>
      <c r="I2" s="52"/>
      <c r="J2" s="52"/>
      <c r="K2" s="52"/>
      <c r="L2" s="52"/>
      <c r="M2" s="52"/>
      <c r="N2" s="52"/>
      <c r="O2" s="52"/>
      <c r="P2" s="339"/>
      <c r="Q2" s="339"/>
      <c r="R2" s="339"/>
      <c r="S2" s="339"/>
      <c r="T2" s="339"/>
      <c r="U2" s="339"/>
      <c r="V2" s="339"/>
      <c r="W2" s="339"/>
      <c r="X2" s="339"/>
      <c r="Y2" s="339"/>
    </row>
    <row r="3" spans="1:25" ht="13.5" customHeight="1">
      <c r="A3" s="219"/>
      <c r="B3" s="220"/>
      <c r="C3" s="346"/>
      <c r="D3" s="346"/>
      <c r="E3" s="346"/>
      <c r="F3" s="346"/>
      <c r="G3" s="346"/>
      <c r="H3" s="346"/>
      <c r="I3" s="52"/>
      <c r="J3" s="52"/>
      <c r="K3" s="52"/>
      <c r="L3" s="52"/>
      <c r="M3" s="52"/>
      <c r="N3" s="52"/>
      <c r="O3" s="52"/>
      <c r="P3" s="339"/>
      <c r="Q3" s="339"/>
      <c r="R3" s="339"/>
      <c r="S3" s="339"/>
      <c r="T3" s="339"/>
      <c r="U3" s="339"/>
      <c r="V3" s="339"/>
      <c r="W3" s="339"/>
      <c r="X3" s="339"/>
      <c r="Y3" s="339"/>
    </row>
    <row r="4" spans="1:25" ht="13.5" customHeight="1">
      <c r="A4" s="219"/>
      <c r="B4" s="220"/>
      <c r="C4" s="346"/>
      <c r="D4" s="346"/>
      <c r="E4" s="346"/>
      <c r="F4" s="346"/>
      <c r="G4" s="346"/>
      <c r="H4" s="346"/>
      <c r="I4" s="52"/>
      <c r="J4" s="52"/>
      <c r="K4" s="52"/>
      <c r="L4" s="52"/>
      <c r="M4" s="52"/>
      <c r="N4" s="52"/>
      <c r="O4" s="52"/>
      <c r="P4" s="339"/>
      <c r="Q4" s="339"/>
      <c r="R4" s="339"/>
      <c r="S4" s="339"/>
      <c r="T4" s="339"/>
      <c r="U4" s="339"/>
      <c r="V4" s="339"/>
      <c r="W4" s="339"/>
      <c r="X4" s="339"/>
      <c r="Y4" s="339"/>
    </row>
    <row r="5" spans="1:25" ht="13.5" customHeight="1">
      <c r="A5" s="219"/>
      <c r="B5" s="220"/>
      <c r="C5" s="134"/>
      <c r="D5" s="339"/>
      <c r="E5" s="339"/>
      <c r="F5" s="339"/>
      <c r="G5" s="339"/>
      <c r="H5" s="339"/>
      <c r="I5" s="52"/>
      <c r="J5" s="52"/>
      <c r="K5" s="52"/>
      <c r="L5" s="52"/>
      <c r="M5" s="52"/>
      <c r="N5" s="52"/>
      <c r="O5" s="52"/>
      <c r="P5" s="339"/>
      <c r="Q5" s="339"/>
      <c r="R5" s="339"/>
      <c r="S5" s="339"/>
      <c r="T5" s="339"/>
      <c r="U5" s="339"/>
      <c r="V5" s="339"/>
      <c r="W5" s="339"/>
      <c r="X5" s="339"/>
      <c r="Y5" s="339"/>
    </row>
    <row r="6" spans="1:25" ht="13.5" customHeight="1">
      <c r="A6" s="219"/>
      <c r="B6" s="220"/>
      <c r="C6" s="52"/>
      <c r="D6" s="135">
        <f>OPEX!F5</f>
        <v>2025</v>
      </c>
      <c r="E6" s="135">
        <f>OPEX!G5</f>
        <v>2026</v>
      </c>
      <c r="F6" s="135">
        <f>OPEX!H5</f>
        <v>2027</v>
      </c>
      <c r="G6" s="135">
        <f>OPEX!I5</f>
        <v>2028</v>
      </c>
      <c r="H6" s="135">
        <f>OPEX!J5</f>
        <v>2029</v>
      </c>
      <c r="I6" s="52"/>
      <c r="J6" s="52"/>
      <c r="K6" s="52"/>
      <c r="L6" s="52"/>
      <c r="M6" s="52"/>
      <c r="N6" s="52"/>
      <c r="O6" s="52"/>
      <c r="P6" s="339"/>
      <c r="Q6" s="339"/>
      <c r="R6" s="339"/>
      <c r="S6" s="339"/>
      <c r="T6" s="339"/>
      <c r="U6" s="339"/>
      <c r="V6" s="339"/>
      <c r="W6" s="339"/>
      <c r="X6" s="339"/>
      <c r="Y6" s="339"/>
    </row>
    <row r="7" spans="1:25" ht="13.5" customHeight="1">
      <c r="A7" s="219"/>
      <c r="B7" s="220"/>
      <c r="C7" s="136" t="s">
        <v>268</v>
      </c>
      <c r="D7" s="137"/>
      <c r="E7" s="137"/>
      <c r="F7" s="137"/>
      <c r="G7" s="137"/>
      <c r="H7" s="137"/>
      <c r="I7" s="52"/>
      <c r="J7" s="52"/>
      <c r="K7" s="52"/>
      <c r="L7" s="52"/>
      <c r="M7" s="52"/>
      <c r="N7" s="52"/>
      <c r="O7" s="52"/>
      <c r="P7" s="339"/>
      <c r="Q7" s="339"/>
      <c r="R7" s="339"/>
      <c r="S7" s="339"/>
      <c r="T7" s="339"/>
      <c r="U7" s="339"/>
      <c r="V7" s="339"/>
      <c r="W7" s="339"/>
      <c r="X7" s="339"/>
      <c r="Y7" s="339"/>
    </row>
    <row r="8" spans="1:25" ht="13.5" customHeight="1">
      <c r="A8" s="219"/>
      <c r="B8" s="220"/>
      <c r="C8" s="52"/>
      <c r="D8" s="133"/>
      <c r="E8" s="133"/>
      <c r="F8" s="133"/>
      <c r="G8" s="133"/>
      <c r="H8" s="133"/>
      <c r="I8" s="52"/>
      <c r="J8" s="52"/>
      <c r="K8" s="52"/>
      <c r="L8" s="52"/>
      <c r="M8" s="52"/>
      <c r="N8" s="52"/>
      <c r="O8" s="52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spans="1:25" ht="22.5" customHeight="1">
      <c r="A9" s="219"/>
      <c r="B9" s="220"/>
      <c r="C9" s="138" t="s">
        <v>269</v>
      </c>
      <c r="D9" s="285">
        <f>OPEX!F23</f>
        <v>78475000</v>
      </c>
      <c r="E9" s="285">
        <f>OPEX!G23</f>
        <v>523501250</v>
      </c>
      <c r="F9" s="285">
        <f>OPEX!H23</f>
        <v>545232437.5</v>
      </c>
      <c r="G9" s="285">
        <f>OPEX!I23</f>
        <v>568407063.12500012</v>
      </c>
      <c r="H9" s="285">
        <f>OPEX!J23</f>
        <v>593175913.39374995</v>
      </c>
      <c r="I9" s="52"/>
      <c r="J9" s="52"/>
      <c r="K9" s="52"/>
      <c r="L9" s="52"/>
      <c r="M9" s="52"/>
      <c r="N9" s="52"/>
      <c r="O9" s="52"/>
      <c r="P9" s="339"/>
      <c r="Q9" s="339"/>
      <c r="R9" s="339"/>
      <c r="S9" s="339"/>
      <c r="T9" s="339"/>
      <c r="U9" s="339"/>
      <c r="V9" s="339"/>
      <c r="W9" s="339"/>
      <c r="X9" s="339"/>
      <c r="Y9" s="339"/>
    </row>
    <row r="10" spans="1:25" ht="22.5" customHeight="1">
      <c r="A10" s="219"/>
      <c r="B10" s="220"/>
      <c r="C10" s="340" t="s">
        <v>270</v>
      </c>
      <c r="D10" s="286">
        <f>OPEX!F25</f>
        <v>24000000</v>
      </c>
      <c r="E10" s="286">
        <f>OPEX!G25</f>
        <v>24720000</v>
      </c>
      <c r="F10" s="286">
        <f>OPEX!H25</f>
        <v>25461600</v>
      </c>
      <c r="G10" s="286">
        <f>OPEX!I25</f>
        <v>26225448</v>
      </c>
      <c r="H10" s="286">
        <f>OPEX!J25</f>
        <v>27012211.440000001</v>
      </c>
      <c r="I10" s="52"/>
      <c r="J10" s="52"/>
      <c r="K10" s="52"/>
      <c r="L10" s="52"/>
      <c r="M10" s="52"/>
      <c r="N10" s="52"/>
      <c r="O10" s="52"/>
      <c r="P10" s="339"/>
      <c r="Q10" s="339"/>
      <c r="R10" s="339"/>
      <c r="S10" s="339"/>
      <c r="T10" s="339"/>
      <c r="U10" s="339"/>
      <c r="V10" s="339"/>
      <c r="W10" s="339"/>
      <c r="X10" s="339"/>
      <c r="Y10" s="339"/>
    </row>
    <row r="11" spans="1:25" ht="22.5" customHeight="1">
      <c r="A11" s="219"/>
      <c r="B11" s="220"/>
      <c r="C11" s="340" t="s">
        <v>271</v>
      </c>
      <c r="D11" s="286">
        <f>OPEX!F26+OPEX!F33+OPEX!F43+OPEX!F44+OPEX!F45+OPEX!F46+OPEX!F47</f>
        <v>30239600</v>
      </c>
      <c r="E11" s="286">
        <f>OPEX!G26+OPEX!G33+OPEX!G43+OPEX!G44+OPEX!G45+OPEX!G46+OPEX!G47</f>
        <v>30747680</v>
      </c>
      <c r="F11" s="286">
        <f>OPEX!H26+OPEX!H33+OPEX!H43+OPEX!H44+OPEX!H45+OPEX!H46+OPEX!H47</f>
        <v>31265602.399999999</v>
      </c>
      <c r="G11" s="286">
        <f>OPEX!I26+OPEX!I33+OPEX!I43+OPEX!I44+OPEX!I45+OPEX!I46+OPEX!I47</f>
        <v>31793578.471999999</v>
      </c>
      <c r="H11" s="286">
        <f>OPEX!J26+OPEX!J33+OPEX!J43+OPEX!J44+OPEX!J45+OPEX!J46+OPEX!J47</f>
        <v>32331824.386159997</v>
      </c>
      <c r="I11" s="52"/>
      <c r="J11" s="52"/>
      <c r="K11" s="52"/>
      <c r="L11" s="52"/>
      <c r="M11" s="52"/>
      <c r="N11" s="52"/>
      <c r="O11" s="133"/>
      <c r="P11" s="339"/>
      <c r="Q11" s="339"/>
      <c r="R11" s="339"/>
      <c r="S11" s="339"/>
      <c r="T11" s="339"/>
      <c r="U11" s="339"/>
      <c r="V11" s="339"/>
      <c r="W11" s="339"/>
      <c r="X11" s="339"/>
      <c r="Y11" s="339"/>
    </row>
    <row r="12" spans="1:25" ht="22.5" customHeight="1">
      <c r="A12" s="219"/>
      <c r="B12" s="220"/>
      <c r="C12" s="138" t="s">
        <v>216</v>
      </c>
      <c r="D12" s="285">
        <f t="shared" ref="D12:H12" si="0">D9-D10-D11</f>
        <v>24235400</v>
      </c>
      <c r="E12" s="285">
        <f t="shared" si="0"/>
        <v>468033570</v>
      </c>
      <c r="F12" s="285">
        <f t="shared" si="0"/>
        <v>488505235.10000002</v>
      </c>
      <c r="G12" s="285">
        <f t="shared" si="0"/>
        <v>510388036.65300012</v>
      </c>
      <c r="H12" s="285">
        <f t="shared" si="0"/>
        <v>533831877.56758988</v>
      </c>
      <c r="I12" s="52"/>
      <c r="J12" s="52"/>
      <c r="K12" s="52"/>
      <c r="L12" s="52"/>
      <c r="M12" s="52"/>
      <c r="N12" s="52"/>
      <c r="O12" s="52"/>
      <c r="P12" s="339"/>
      <c r="Q12" s="339"/>
      <c r="R12" s="339"/>
      <c r="S12" s="339"/>
      <c r="T12" s="339"/>
      <c r="U12" s="339"/>
      <c r="V12" s="339"/>
      <c r="W12" s="339"/>
      <c r="X12" s="339"/>
      <c r="Y12" s="339"/>
    </row>
    <row r="13" spans="1:25" ht="22.5" customHeight="1">
      <c r="A13" s="219"/>
      <c r="B13" s="220"/>
      <c r="C13" s="340" t="s">
        <v>272</v>
      </c>
      <c r="D13" s="286">
        <f>OPEX!F49</f>
        <v>4230000</v>
      </c>
      <c r="E13" s="286">
        <f>OPEX!G49</f>
        <v>4230000</v>
      </c>
      <c r="F13" s="286">
        <f>OPEX!H49</f>
        <v>4230000</v>
      </c>
      <c r="G13" s="286">
        <f>OPEX!I49</f>
        <v>4230000</v>
      </c>
      <c r="H13" s="286">
        <f>OPEX!J49</f>
        <v>4230000</v>
      </c>
      <c r="I13" s="52"/>
      <c r="J13" s="52"/>
      <c r="K13" s="52"/>
      <c r="L13" s="52"/>
      <c r="M13" s="52"/>
      <c r="N13" s="52"/>
      <c r="O13" s="52"/>
      <c r="P13" s="339"/>
      <c r="Q13" s="339"/>
      <c r="R13" s="339"/>
      <c r="S13" s="339"/>
      <c r="T13" s="339"/>
      <c r="U13" s="339"/>
      <c r="V13" s="339"/>
      <c r="W13" s="339"/>
      <c r="X13" s="339"/>
      <c r="Y13" s="339"/>
    </row>
    <row r="14" spans="1:25" ht="22.5" customHeight="1">
      <c r="A14" s="219"/>
      <c r="B14" s="220"/>
      <c r="C14" s="138" t="s">
        <v>220</v>
      </c>
      <c r="D14" s="285">
        <f t="shared" ref="D14:H14" si="1">D12-D13</f>
        <v>20005400</v>
      </c>
      <c r="E14" s="285">
        <f t="shared" si="1"/>
        <v>463803570</v>
      </c>
      <c r="F14" s="285">
        <f t="shared" si="1"/>
        <v>484275235.10000002</v>
      </c>
      <c r="G14" s="285">
        <f t="shared" si="1"/>
        <v>506158036.65300012</v>
      </c>
      <c r="H14" s="285">
        <f t="shared" si="1"/>
        <v>529601877.56758988</v>
      </c>
      <c r="I14" s="52"/>
      <c r="J14" s="52"/>
      <c r="K14" s="52"/>
      <c r="L14" s="52"/>
      <c r="M14" s="52"/>
      <c r="N14" s="52"/>
      <c r="O14" s="52"/>
      <c r="P14" s="339"/>
      <c r="Q14" s="339"/>
      <c r="R14" s="339"/>
      <c r="S14" s="339"/>
      <c r="T14" s="339"/>
      <c r="U14" s="339"/>
      <c r="V14" s="339"/>
      <c r="W14" s="339"/>
      <c r="X14" s="339"/>
      <c r="Y14" s="339"/>
    </row>
    <row r="15" spans="1:25" ht="22.5" customHeight="1">
      <c r="A15" s="219"/>
      <c r="B15" s="220"/>
      <c r="C15" s="139" t="s">
        <v>273</v>
      </c>
      <c r="D15" s="286">
        <f>OPEX!F53</f>
        <v>6148649.5236855447</v>
      </c>
      <c r="E15" s="286">
        <f>OPEX!G53</f>
        <v>6705218.7267044876</v>
      </c>
      <c r="F15" s="286">
        <f>OPEX!H53</f>
        <v>7378644.1962187951</v>
      </c>
      <c r="G15" s="286">
        <f>OPEX!I53</f>
        <v>8194232.8003327046</v>
      </c>
      <c r="H15" s="286">
        <f>OPEX!J53</f>
        <v>9099971.4040225986</v>
      </c>
      <c r="I15" s="52"/>
      <c r="J15" s="52"/>
      <c r="K15" s="52"/>
      <c r="L15" s="52"/>
      <c r="M15" s="52"/>
      <c r="N15" s="52"/>
      <c r="O15" s="52"/>
      <c r="P15" s="339"/>
      <c r="Q15" s="339"/>
      <c r="R15" s="339"/>
      <c r="S15" s="339"/>
      <c r="T15" s="339"/>
      <c r="U15" s="339"/>
      <c r="V15" s="339"/>
      <c r="W15" s="339"/>
      <c r="X15" s="339"/>
      <c r="Y15" s="339"/>
    </row>
    <row r="16" spans="1:25" ht="22.5" customHeight="1">
      <c r="A16" s="219"/>
      <c r="B16" s="220"/>
      <c r="C16" s="140" t="s">
        <v>274</v>
      </c>
      <c r="D16" s="287">
        <f t="shared" ref="D16:H16" si="2">D14-D15</f>
        <v>13856750.476314455</v>
      </c>
      <c r="E16" s="287">
        <f t="shared" si="2"/>
        <v>457098351.27329552</v>
      </c>
      <c r="F16" s="287">
        <f t="shared" si="2"/>
        <v>476896590.90378124</v>
      </c>
      <c r="G16" s="287">
        <f t="shared" si="2"/>
        <v>497963803.85266739</v>
      </c>
      <c r="H16" s="287">
        <f t="shared" si="2"/>
        <v>520501906.1635673</v>
      </c>
      <c r="I16" s="52"/>
      <c r="J16" s="52"/>
      <c r="K16" s="52"/>
      <c r="L16" s="52"/>
      <c r="M16" s="52"/>
      <c r="N16" s="52"/>
      <c r="O16" s="52"/>
      <c r="P16" s="339"/>
      <c r="Q16" s="339"/>
      <c r="R16" s="339"/>
      <c r="S16" s="339"/>
      <c r="T16" s="339"/>
      <c r="U16" s="339"/>
      <c r="V16" s="339"/>
      <c r="W16" s="339"/>
      <c r="X16" s="339"/>
      <c r="Y16" s="339"/>
    </row>
    <row r="17" spans="1:25" ht="22.5" customHeight="1">
      <c r="A17" s="219"/>
      <c r="B17" s="220"/>
      <c r="C17" s="288" t="s">
        <v>223</v>
      </c>
      <c r="D17" s="286">
        <f>IF(D16&lt;0,500000,IF(D16*Taux_IS&lt;500000,500000,D16*Taux_IS))</f>
        <v>4157025.1428943365</v>
      </c>
      <c r="E17" s="286">
        <f>IF(E16&lt;0,500000,IF(E16*Taux_IS&lt;500000,500000,E16*Taux_IS))</f>
        <v>137129505.38198864</v>
      </c>
      <c r="F17" s="286">
        <f>IF(F16&lt;0,500000,IF(F16*Taux_IS&lt;500000,500000,F16*Taux_IS))</f>
        <v>143068977.27113438</v>
      </c>
      <c r="G17" s="286">
        <f>IF(G16&lt;0,500000,IF(G16*Taux_IS&lt;500000,500000,G16*Taux_IS))</f>
        <v>149389141.15580022</v>
      </c>
      <c r="H17" s="286">
        <f>IF(H16&lt;0,500000,IF(H16*Taux_IS&lt;500000,500000,H16*Taux_IS))</f>
        <v>156150571.84907019</v>
      </c>
      <c r="I17" s="52"/>
      <c r="J17" s="52"/>
      <c r="K17" s="52"/>
      <c r="L17" s="52"/>
      <c r="M17" s="52"/>
      <c r="N17" s="52"/>
      <c r="O17" s="52"/>
      <c r="P17" s="339"/>
      <c r="Q17" s="339"/>
      <c r="R17" s="339"/>
      <c r="S17" s="339"/>
      <c r="T17" s="339"/>
      <c r="U17" s="339"/>
      <c r="V17" s="339"/>
      <c r="W17" s="339"/>
      <c r="X17" s="339"/>
      <c r="Y17" s="339"/>
    </row>
    <row r="18" spans="1:25" ht="22.5" customHeight="1">
      <c r="A18" s="219"/>
      <c r="B18" s="220"/>
      <c r="C18" s="136" t="s">
        <v>224</v>
      </c>
      <c r="D18" s="141">
        <f t="shared" ref="D18:H18" si="3">D16-D17</f>
        <v>9699725.3334201183</v>
      </c>
      <c r="E18" s="141">
        <f t="shared" si="3"/>
        <v>319968845.89130688</v>
      </c>
      <c r="F18" s="141">
        <f t="shared" si="3"/>
        <v>333827613.63264686</v>
      </c>
      <c r="G18" s="141">
        <f t="shared" si="3"/>
        <v>348574662.69686717</v>
      </c>
      <c r="H18" s="141">
        <f t="shared" si="3"/>
        <v>364351334.31449711</v>
      </c>
      <c r="I18" s="52"/>
      <c r="J18" s="52"/>
      <c r="K18" s="52"/>
      <c r="L18" s="52"/>
      <c r="M18" s="52"/>
      <c r="N18" s="52"/>
      <c r="O18" s="52"/>
      <c r="P18" s="339"/>
      <c r="Q18" s="339"/>
      <c r="R18" s="339"/>
      <c r="S18" s="339"/>
      <c r="T18" s="339"/>
      <c r="U18" s="339"/>
      <c r="V18" s="339"/>
      <c r="W18" s="339"/>
      <c r="X18" s="339"/>
      <c r="Y18" s="339"/>
    </row>
    <row r="19" spans="1:25" ht="13.5" customHeight="1">
      <c r="A19" s="219"/>
      <c r="B19" s="220"/>
      <c r="C19" s="52"/>
      <c r="D19" s="133"/>
      <c r="E19" s="133"/>
      <c r="F19" s="133"/>
      <c r="G19" s="133"/>
      <c r="H19" s="133"/>
      <c r="I19" s="52"/>
      <c r="J19" s="52"/>
      <c r="K19" s="52"/>
      <c r="L19" s="52"/>
      <c r="M19" s="52"/>
      <c r="N19" s="52"/>
      <c r="O19" s="52"/>
      <c r="P19" s="339"/>
      <c r="Q19" s="339"/>
      <c r="R19" s="339"/>
      <c r="S19" s="339"/>
      <c r="T19" s="339"/>
      <c r="U19" s="339"/>
      <c r="V19" s="339"/>
      <c r="W19" s="339"/>
      <c r="X19" s="339"/>
      <c r="Y19" s="339"/>
    </row>
    <row r="20" spans="1:25" ht="13.5" customHeight="1">
      <c r="A20" s="219"/>
      <c r="B20" s="220"/>
      <c r="C20" s="52"/>
      <c r="D20" s="133"/>
      <c r="E20" s="133"/>
      <c r="F20" s="133"/>
      <c r="G20" s="133"/>
      <c r="H20" s="133"/>
      <c r="I20" s="52"/>
      <c r="J20" s="52"/>
      <c r="K20" s="52"/>
      <c r="L20" s="52"/>
      <c r="M20" s="52"/>
      <c r="N20" s="52"/>
      <c r="O20" s="52"/>
      <c r="P20" s="339"/>
      <c r="Q20" s="339"/>
      <c r="R20" s="339"/>
      <c r="S20" s="339"/>
      <c r="T20" s="339"/>
      <c r="U20" s="339"/>
      <c r="V20" s="339"/>
      <c r="W20" s="339"/>
      <c r="X20" s="339"/>
      <c r="Y20" s="339"/>
    </row>
    <row r="21" spans="1:25" ht="13.5" customHeight="1">
      <c r="A21" s="219"/>
      <c r="B21" s="220"/>
      <c r="C21" s="289"/>
      <c r="D21" s="290"/>
      <c r="E21" s="290"/>
      <c r="F21" s="290"/>
      <c r="G21" s="290"/>
      <c r="H21" s="290"/>
      <c r="I21" s="52"/>
      <c r="J21" s="52"/>
      <c r="K21" s="52"/>
      <c r="L21" s="52"/>
      <c r="M21" s="52"/>
      <c r="N21" s="52"/>
      <c r="O21" s="52"/>
      <c r="P21" s="339"/>
      <c r="Q21" s="339"/>
      <c r="R21" s="339"/>
      <c r="S21" s="339"/>
      <c r="T21" s="339"/>
      <c r="U21" s="339"/>
      <c r="V21" s="339"/>
      <c r="W21" s="339"/>
      <c r="X21" s="339"/>
      <c r="Y21" s="339"/>
    </row>
    <row r="22" spans="1:25" ht="13.5" customHeight="1">
      <c r="A22" s="219"/>
      <c r="B22" s="220"/>
      <c r="C22" s="52"/>
      <c r="D22" s="133"/>
      <c r="E22" s="133"/>
      <c r="F22" s="133"/>
      <c r="G22" s="133"/>
      <c r="H22" s="133"/>
      <c r="I22" s="52"/>
      <c r="J22" s="52"/>
      <c r="K22" s="52"/>
      <c r="L22" s="52"/>
      <c r="M22" s="52"/>
      <c r="N22" s="52"/>
      <c r="O22" s="52"/>
      <c r="P22" s="339"/>
      <c r="Q22" s="339"/>
      <c r="R22" s="339"/>
      <c r="S22" s="339"/>
      <c r="T22" s="339"/>
      <c r="U22" s="339"/>
      <c r="V22" s="339"/>
      <c r="W22" s="339"/>
      <c r="X22" s="339"/>
      <c r="Y22" s="339"/>
    </row>
    <row r="23" spans="1:25" ht="13.5" customHeight="1">
      <c r="A23" s="219"/>
      <c r="B23" s="220"/>
      <c r="C23" s="378" t="s">
        <v>275</v>
      </c>
      <c r="D23" s="346"/>
      <c r="E23" s="346"/>
      <c r="F23" s="346"/>
      <c r="G23" s="346"/>
      <c r="H23" s="346"/>
      <c r="I23" s="52"/>
      <c r="J23" s="52"/>
      <c r="K23" s="52"/>
      <c r="L23" s="52"/>
      <c r="M23" s="52"/>
      <c r="N23" s="52"/>
      <c r="O23" s="52"/>
      <c r="P23" s="339"/>
      <c r="Q23" s="339"/>
      <c r="R23" s="339"/>
      <c r="S23" s="339"/>
      <c r="T23" s="339"/>
      <c r="U23" s="339"/>
      <c r="V23" s="339"/>
      <c r="W23" s="339"/>
      <c r="X23" s="339"/>
      <c r="Y23" s="339"/>
    </row>
    <row r="24" spans="1:25" ht="13.5" customHeight="1">
      <c r="A24" s="219"/>
      <c r="B24" s="220"/>
      <c r="C24" s="346"/>
      <c r="D24" s="346"/>
      <c r="E24" s="346"/>
      <c r="F24" s="346"/>
      <c r="G24" s="346"/>
      <c r="H24" s="346"/>
      <c r="I24" s="52"/>
      <c r="J24" s="52"/>
      <c r="K24" s="52"/>
      <c r="L24" s="52"/>
      <c r="M24" s="52"/>
      <c r="N24" s="52"/>
      <c r="O24" s="52"/>
      <c r="P24" s="339"/>
      <c r="Q24" s="339"/>
      <c r="R24" s="339"/>
      <c r="S24" s="339"/>
      <c r="T24" s="339"/>
      <c r="U24" s="339"/>
      <c r="V24" s="339"/>
      <c r="W24" s="339"/>
      <c r="X24" s="339"/>
      <c r="Y24" s="339"/>
    </row>
    <row r="25" spans="1:25" ht="13.5" customHeight="1">
      <c r="A25" s="219"/>
      <c r="B25" s="220"/>
      <c r="C25" s="346"/>
      <c r="D25" s="346"/>
      <c r="E25" s="346"/>
      <c r="F25" s="346"/>
      <c r="G25" s="346"/>
      <c r="H25" s="346"/>
      <c r="I25" s="52"/>
      <c r="J25" s="52"/>
      <c r="K25" s="52"/>
      <c r="L25" s="52"/>
      <c r="M25" s="52"/>
      <c r="N25" s="52"/>
      <c r="O25" s="52"/>
      <c r="P25" s="339"/>
      <c r="Q25" s="339"/>
      <c r="R25" s="339"/>
      <c r="S25" s="339"/>
      <c r="T25" s="339"/>
      <c r="U25" s="339"/>
      <c r="V25" s="339"/>
      <c r="W25" s="339"/>
      <c r="X25" s="339"/>
      <c r="Y25" s="339"/>
    </row>
    <row r="26" spans="1:25" ht="13.5" customHeight="1">
      <c r="A26" s="219"/>
      <c r="B26" s="220"/>
      <c r="C26" s="342"/>
      <c r="D26" s="342"/>
      <c r="E26" s="342"/>
      <c r="F26" s="342"/>
      <c r="G26" s="342"/>
      <c r="H26" s="342"/>
      <c r="I26" s="52"/>
      <c r="J26" s="52"/>
      <c r="K26" s="52"/>
      <c r="L26" s="52"/>
      <c r="M26" s="52"/>
      <c r="N26" s="52"/>
      <c r="O26" s="52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1:25" ht="13.5" customHeight="1">
      <c r="A27" s="219"/>
      <c r="B27" s="220"/>
      <c r="C27" s="142" t="s">
        <v>276</v>
      </c>
      <c r="D27" s="143">
        <f>+Hypotheses!$F40</f>
        <v>0.85</v>
      </c>
      <c r="E27" s="143">
        <f>+Hypotheses!$F40</f>
        <v>0.85</v>
      </c>
      <c r="F27" s="143">
        <f>+Hypotheses!$F40</f>
        <v>0.85</v>
      </c>
      <c r="G27" s="143">
        <f>+Hypotheses!$F40</f>
        <v>0.85</v>
      </c>
      <c r="H27" s="143">
        <f>+Hypotheses!$F40</f>
        <v>0.85</v>
      </c>
      <c r="I27" s="52"/>
      <c r="J27" s="52"/>
      <c r="K27" s="52"/>
      <c r="L27" s="52"/>
      <c r="M27" s="52"/>
      <c r="N27" s="52"/>
      <c r="O27" s="52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1:25" ht="13.5" customHeight="1">
      <c r="A28" s="219"/>
      <c r="B28" s="220"/>
      <c r="C28" s="134"/>
      <c r="D28" s="66"/>
      <c r="E28" s="66"/>
      <c r="F28" s="66"/>
      <c r="G28" s="66"/>
      <c r="H28" s="66"/>
      <c r="I28" s="52"/>
      <c r="J28" s="52"/>
      <c r="K28" s="52"/>
      <c r="L28" s="52"/>
      <c r="M28" s="52"/>
      <c r="N28" s="52"/>
      <c r="O28" s="52"/>
      <c r="P28" s="339"/>
      <c r="Q28" s="339"/>
      <c r="R28" s="339"/>
      <c r="S28" s="339"/>
      <c r="T28" s="339"/>
      <c r="U28" s="339"/>
      <c r="V28" s="339"/>
      <c r="W28" s="339"/>
      <c r="X28" s="339"/>
      <c r="Y28" s="339"/>
    </row>
    <row r="29" spans="1:25" ht="13.5" customHeight="1">
      <c r="A29" s="219"/>
      <c r="B29" s="220"/>
      <c r="C29" s="144" t="s">
        <v>181</v>
      </c>
      <c r="D29" s="144">
        <f t="shared" ref="D29:H29" si="4">D6</f>
        <v>2025</v>
      </c>
      <c r="E29" s="144">
        <f t="shared" si="4"/>
        <v>2026</v>
      </c>
      <c r="F29" s="144">
        <f t="shared" si="4"/>
        <v>2027</v>
      </c>
      <c r="G29" s="144">
        <f t="shared" si="4"/>
        <v>2028</v>
      </c>
      <c r="H29" s="144">
        <f t="shared" si="4"/>
        <v>2029</v>
      </c>
      <c r="I29" s="145"/>
      <c r="J29" s="145"/>
      <c r="K29" s="145"/>
      <c r="L29" s="145"/>
      <c r="M29" s="145"/>
      <c r="N29" s="145"/>
      <c r="O29" s="145"/>
      <c r="P29" s="146"/>
      <c r="Q29" s="146"/>
      <c r="R29" s="146"/>
      <c r="S29" s="146"/>
      <c r="T29" s="146"/>
      <c r="U29" s="146"/>
      <c r="V29" s="146"/>
      <c r="W29" s="146"/>
      <c r="X29" s="146"/>
      <c r="Y29" s="146"/>
    </row>
    <row r="30" spans="1:25" ht="13.5" customHeight="1">
      <c r="A30" s="219"/>
      <c r="B30" s="220"/>
      <c r="C30" s="136" t="s">
        <v>268</v>
      </c>
      <c r="D30" s="137"/>
      <c r="E30" s="137"/>
      <c r="F30" s="137"/>
      <c r="G30" s="137"/>
      <c r="H30" s="137"/>
      <c r="I30" s="145"/>
      <c r="J30" s="145"/>
      <c r="K30" s="145"/>
      <c r="L30" s="145"/>
      <c r="M30" s="145"/>
      <c r="N30" s="145"/>
      <c r="O30" s="145"/>
      <c r="P30" s="146"/>
      <c r="Q30" s="146"/>
      <c r="R30" s="146"/>
      <c r="S30" s="146"/>
      <c r="T30" s="146"/>
      <c r="U30" s="146"/>
      <c r="V30" s="146"/>
      <c r="W30" s="146"/>
      <c r="X30" s="146"/>
      <c r="Y30" s="146"/>
    </row>
    <row r="31" spans="1:25" ht="13.5" customHeight="1">
      <c r="A31" s="219"/>
      <c r="B31" s="220"/>
      <c r="C31" s="52"/>
      <c r="D31" s="133"/>
      <c r="E31" s="133"/>
      <c r="F31" s="133"/>
      <c r="G31" s="133"/>
      <c r="H31" s="133"/>
      <c r="I31" s="145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</row>
    <row r="32" spans="1:25" ht="13.5" customHeight="1">
      <c r="A32" s="219"/>
      <c r="B32" s="220"/>
      <c r="C32" s="138" t="s">
        <v>269</v>
      </c>
      <c r="D32" s="285">
        <f t="shared" ref="D32:H32" si="5">D27*D9</f>
        <v>66703750</v>
      </c>
      <c r="E32" s="285">
        <f t="shared" si="5"/>
        <v>444976062.5</v>
      </c>
      <c r="F32" s="285">
        <f t="shared" si="5"/>
        <v>463447571.875</v>
      </c>
      <c r="G32" s="285">
        <f t="shared" si="5"/>
        <v>483146003.65625006</v>
      </c>
      <c r="H32" s="285">
        <f t="shared" si="5"/>
        <v>504199526.38468742</v>
      </c>
      <c r="I32" s="145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</row>
    <row r="33" spans="1:25" ht="13.5" customHeight="1">
      <c r="A33" s="219"/>
      <c r="B33" s="220"/>
      <c r="C33" s="340" t="s">
        <v>270</v>
      </c>
      <c r="D33" s="286">
        <f t="shared" ref="D33:H33" si="6">D10</f>
        <v>24000000</v>
      </c>
      <c r="E33" s="286">
        <f t="shared" si="6"/>
        <v>24720000</v>
      </c>
      <c r="F33" s="286">
        <f t="shared" si="6"/>
        <v>25461600</v>
      </c>
      <c r="G33" s="286">
        <f t="shared" si="6"/>
        <v>26225448</v>
      </c>
      <c r="H33" s="286">
        <f t="shared" si="6"/>
        <v>27012211.440000001</v>
      </c>
      <c r="I33" s="145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</row>
    <row r="34" spans="1:25" ht="13.5" customHeight="1">
      <c r="A34" s="219"/>
      <c r="B34" s="220"/>
      <c r="C34" s="340" t="s">
        <v>271</v>
      </c>
      <c r="D34" s="286">
        <f t="shared" ref="D34:H34" si="7">D11</f>
        <v>30239600</v>
      </c>
      <c r="E34" s="286">
        <f t="shared" si="7"/>
        <v>30747680</v>
      </c>
      <c r="F34" s="286">
        <f t="shared" si="7"/>
        <v>31265602.399999999</v>
      </c>
      <c r="G34" s="286">
        <f t="shared" si="7"/>
        <v>31793578.471999999</v>
      </c>
      <c r="H34" s="286">
        <f t="shared" si="7"/>
        <v>32331824.386159997</v>
      </c>
      <c r="I34" s="145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</row>
    <row r="35" spans="1:25" ht="13.5" customHeight="1">
      <c r="A35" s="219"/>
      <c r="B35" s="220"/>
      <c r="C35" s="138" t="s">
        <v>216</v>
      </c>
      <c r="D35" s="285">
        <f t="shared" ref="D35:H35" si="8">D32-D33-D34</f>
        <v>12464150</v>
      </c>
      <c r="E35" s="285">
        <f t="shared" si="8"/>
        <v>389508382.5</v>
      </c>
      <c r="F35" s="285">
        <f t="shared" si="8"/>
        <v>406720369.47500002</v>
      </c>
      <c r="G35" s="285">
        <f t="shared" si="8"/>
        <v>425126977.18425006</v>
      </c>
      <c r="H35" s="285">
        <f t="shared" si="8"/>
        <v>444855490.55852741</v>
      </c>
      <c r="I35" s="145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</row>
    <row r="36" spans="1:25" ht="13.5" customHeight="1">
      <c r="A36" s="219"/>
      <c r="B36" s="220"/>
      <c r="C36" s="340" t="s">
        <v>272</v>
      </c>
      <c r="D36" s="286">
        <f t="shared" ref="D36:H36" si="9">D13</f>
        <v>4230000</v>
      </c>
      <c r="E36" s="286">
        <f t="shared" si="9"/>
        <v>4230000</v>
      </c>
      <c r="F36" s="286">
        <f t="shared" si="9"/>
        <v>4230000</v>
      </c>
      <c r="G36" s="286">
        <f t="shared" si="9"/>
        <v>4230000</v>
      </c>
      <c r="H36" s="286">
        <f t="shared" si="9"/>
        <v>4230000</v>
      </c>
      <c r="I36" s="145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</row>
    <row r="37" spans="1:25" ht="13.5" customHeight="1">
      <c r="A37" s="219"/>
      <c r="B37" s="220"/>
      <c r="C37" s="138" t="s">
        <v>220</v>
      </c>
      <c r="D37" s="285">
        <f t="shared" ref="D37:H37" si="10">D35-D36</f>
        <v>8234150</v>
      </c>
      <c r="E37" s="285">
        <f t="shared" si="10"/>
        <v>385278382.5</v>
      </c>
      <c r="F37" s="285">
        <f t="shared" si="10"/>
        <v>402490369.47500002</v>
      </c>
      <c r="G37" s="285">
        <f t="shared" si="10"/>
        <v>420896977.18425006</v>
      </c>
      <c r="H37" s="285">
        <f t="shared" si="10"/>
        <v>440625490.55852741</v>
      </c>
      <c r="I37" s="145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</row>
    <row r="38" spans="1:25" ht="13.5" customHeight="1">
      <c r="A38" s="227"/>
      <c r="B38" s="228"/>
      <c r="C38" s="139" t="s">
        <v>273</v>
      </c>
      <c r="D38" s="286">
        <f t="shared" ref="D38:H38" si="11">D15</f>
        <v>6148649.5236855447</v>
      </c>
      <c r="E38" s="286">
        <f t="shared" si="11"/>
        <v>6705218.7267044876</v>
      </c>
      <c r="F38" s="286">
        <f t="shared" si="11"/>
        <v>7378644.1962187951</v>
      </c>
      <c r="G38" s="286">
        <f t="shared" si="11"/>
        <v>8194232.8003327046</v>
      </c>
      <c r="H38" s="286">
        <f t="shared" si="11"/>
        <v>9099971.4040225986</v>
      </c>
      <c r="I38" s="145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</row>
    <row r="39" spans="1:25" ht="13.5" customHeight="1">
      <c r="A39" s="227"/>
      <c r="B39" s="228"/>
      <c r="C39" s="140" t="s">
        <v>274</v>
      </c>
      <c r="D39" s="287">
        <f t="shared" ref="D39:H39" si="12">D37-D38</f>
        <v>2085500.4763144553</v>
      </c>
      <c r="E39" s="287">
        <f t="shared" si="12"/>
        <v>378573163.77329552</v>
      </c>
      <c r="F39" s="287">
        <f t="shared" si="12"/>
        <v>395111725.27878124</v>
      </c>
      <c r="G39" s="287">
        <f t="shared" si="12"/>
        <v>412702744.38391733</v>
      </c>
      <c r="H39" s="287">
        <f t="shared" si="12"/>
        <v>431525519.15450484</v>
      </c>
      <c r="I39" s="145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</row>
    <row r="40" spans="1:25" ht="13.5" customHeight="1">
      <c r="A40" s="227"/>
      <c r="B40" s="228"/>
      <c r="C40" s="288" t="s">
        <v>223</v>
      </c>
      <c r="D40" s="286">
        <f t="shared" ref="D40:H40" si="13">D17</f>
        <v>4157025.1428943365</v>
      </c>
      <c r="E40" s="286">
        <f t="shared" si="13"/>
        <v>137129505.38198864</v>
      </c>
      <c r="F40" s="286">
        <f t="shared" si="13"/>
        <v>143068977.27113438</v>
      </c>
      <c r="G40" s="286">
        <f t="shared" si="13"/>
        <v>149389141.15580022</v>
      </c>
      <c r="H40" s="286">
        <f t="shared" si="13"/>
        <v>156150571.84907019</v>
      </c>
      <c r="I40" s="145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</row>
    <row r="41" spans="1:25" ht="13.5" customHeight="1">
      <c r="A41" s="227"/>
      <c r="B41" s="228"/>
      <c r="C41" s="136" t="s">
        <v>224</v>
      </c>
      <c r="D41" s="141">
        <f t="shared" ref="D41:H41" si="14">D39-D40</f>
        <v>-2071524.6665798812</v>
      </c>
      <c r="E41" s="141">
        <f t="shared" si="14"/>
        <v>241443658.39130688</v>
      </c>
      <c r="F41" s="141">
        <f t="shared" si="14"/>
        <v>252042748.00764686</v>
      </c>
      <c r="G41" s="141">
        <f t="shared" si="14"/>
        <v>263313603.22811711</v>
      </c>
      <c r="H41" s="141">
        <f t="shared" si="14"/>
        <v>275374947.30543464</v>
      </c>
      <c r="I41" s="145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</row>
    <row r="42" spans="1:25" ht="13.5" customHeight="1">
      <c r="A42" s="227"/>
      <c r="B42" s="228"/>
      <c r="C42" s="52"/>
      <c r="D42" s="133"/>
      <c r="E42" s="133"/>
      <c r="F42" s="133"/>
      <c r="G42" s="133"/>
      <c r="H42" s="133"/>
      <c r="I42" s="52"/>
      <c r="J42" s="52"/>
      <c r="K42" s="52"/>
      <c r="L42" s="52"/>
      <c r="M42" s="52"/>
      <c r="N42" s="52"/>
      <c r="O42" s="52"/>
      <c r="P42" s="339"/>
      <c r="Q42" s="339"/>
      <c r="R42" s="339"/>
      <c r="S42" s="339"/>
      <c r="T42" s="339"/>
      <c r="U42" s="339"/>
      <c r="V42" s="339"/>
      <c r="W42" s="339"/>
      <c r="X42" s="339"/>
      <c r="Y42" s="339"/>
    </row>
    <row r="43" spans="1:25" ht="13.5" customHeight="1">
      <c r="A43" s="227"/>
      <c r="B43" s="228"/>
      <c r="C43" s="52"/>
      <c r="D43" s="133"/>
      <c r="E43" s="133"/>
      <c r="F43" s="133"/>
      <c r="G43" s="133"/>
      <c r="H43" s="133"/>
      <c r="I43" s="52"/>
      <c r="J43" s="52"/>
      <c r="K43" s="52"/>
      <c r="L43" s="52"/>
      <c r="M43" s="52"/>
      <c r="N43" s="52"/>
      <c r="O43" s="52"/>
      <c r="P43" s="339"/>
      <c r="Q43" s="339"/>
      <c r="R43" s="339"/>
      <c r="S43" s="339"/>
      <c r="T43" s="339"/>
      <c r="U43" s="339"/>
      <c r="V43" s="339"/>
      <c r="W43" s="339"/>
      <c r="X43" s="339"/>
      <c r="Y43" s="339"/>
    </row>
    <row r="44" spans="1:25" ht="13.5" customHeight="1">
      <c r="A44" s="227"/>
      <c r="B44" s="228"/>
      <c r="C44" s="52"/>
      <c r="D44" s="133"/>
      <c r="E44" s="133"/>
      <c r="F44" s="133"/>
      <c r="G44" s="133"/>
      <c r="H44" s="133"/>
      <c r="I44" s="52"/>
      <c r="J44" s="52"/>
      <c r="K44" s="52"/>
      <c r="L44" s="52"/>
      <c r="M44" s="52"/>
      <c r="N44" s="52"/>
      <c r="O44" s="52"/>
      <c r="P44" s="339"/>
      <c r="Q44" s="339"/>
      <c r="R44" s="339"/>
      <c r="S44" s="339"/>
      <c r="T44" s="339"/>
      <c r="U44" s="339"/>
      <c r="V44" s="339"/>
      <c r="W44" s="339"/>
      <c r="X44" s="339"/>
      <c r="Y44" s="339"/>
    </row>
    <row r="45" spans="1:25" ht="13.5" customHeight="1">
      <c r="A45" s="227"/>
      <c r="B45" s="228"/>
      <c r="C45" s="52"/>
      <c r="D45" s="133"/>
      <c r="E45" s="133"/>
      <c r="F45" s="133"/>
      <c r="G45" s="133"/>
      <c r="H45" s="133"/>
      <c r="I45" s="52"/>
      <c r="J45" s="52"/>
      <c r="K45" s="52"/>
      <c r="L45" s="52"/>
      <c r="M45" s="52"/>
      <c r="N45" s="52"/>
      <c r="O45" s="52"/>
      <c r="P45" s="339"/>
      <c r="Q45" s="339"/>
      <c r="R45" s="339"/>
      <c r="S45" s="339"/>
      <c r="T45" s="339"/>
      <c r="U45" s="339"/>
      <c r="V45" s="339"/>
      <c r="W45" s="339"/>
      <c r="X45" s="339"/>
      <c r="Y45" s="339"/>
    </row>
    <row r="46" spans="1:25" ht="13.5" customHeight="1">
      <c r="A46" s="227"/>
      <c r="B46" s="228"/>
      <c r="C46" s="52"/>
      <c r="D46" s="133"/>
      <c r="E46" s="133"/>
      <c r="F46" s="133"/>
      <c r="G46" s="133"/>
      <c r="H46" s="133"/>
      <c r="I46" s="52"/>
      <c r="J46" s="52"/>
      <c r="K46" s="52"/>
      <c r="L46" s="52"/>
      <c r="M46" s="52"/>
      <c r="N46" s="52"/>
      <c r="O46" s="52"/>
      <c r="P46" s="339"/>
      <c r="Q46" s="339"/>
      <c r="R46" s="339"/>
      <c r="S46" s="339"/>
      <c r="T46" s="339"/>
      <c r="U46" s="339"/>
      <c r="V46" s="339"/>
      <c r="W46" s="339"/>
      <c r="X46" s="339"/>
      <c r="Y46" s="339"/>
    </row>
    <row r="47" spans="1:25" ht="13.5" customHeight="1">
      <c r="A47" s="227"/>
      <c r="B47" s="228"/>
      <c r="C47" s="52"/>
      <c r="D47" s="133"/>
      <c r="E47" s="133"/>
      <c r="F47" s="133"/>
      <c r="G47" s="133"/>
      <c r="H47" s="133"/>
      <c r="I47" s="52"/>
      <c r="J47" s="52"/>
      <c r="K47" s="52"/>
      <c r="L47" s="52"/>
      <c r="M47" s="52"/>
      <c r="N47" s="52"/>
      <c r="O47" s="52"/>
      <c r="P47" s="339"/>
      <c r="Q47" s="339"/>
      <c r="R47" s="339"/>
      <c r="S47" s="339"/>
      <c r="T47" s="339"/>
      <c r="U47" s="339"/>
      <c r="V47" s="339"/>
      <c r="W47" s="339"/>
      <c r="X47" s="339"/>
      <c r="Y47" s="339"/>
    </row>
    <row r="48" spans="1:25" ht="13.5" customHeight="1">
      <c r="A48" s="227"/>
      <c r="B48" s="228"/>
      <c r="C48" s="52"/>
      <c r="D48" s="133"/>
      <c r="E48" s="133"/>
      <c r="F48" s="133"/>
      <c r="G48" s="133"/>
      <c r="H48" s="133"/>
      <c r="I48" s="52"/>
      <c r="J48" s="52"/>
      <c r="K48" s="52"/>
      <c r="L48" s="52"/>
      <c r="M48" s="52"/>
      <c r="N48" s="52"/>
      <c r="O48" s="52"/>
      <c r="P48" s="339"/>
      <c r="Q48" s="339"/>
      <c r="R48" s="339"/>
      <c r="S48" s="339"/>
      <c r="T48" s="339"/>
      <c r="U48" s="339"/>
      <c r="V48" s="339"/>
      <c r="W48" s="339"/>
      <c r="X48" s="339"/>
      <c r="Y48" s="339"/>
    </row>
    <row r="49" spans="1:15" ht="13.5" customHeight="1">
      <c r="A49" s="227"/>
      <c r="B49" s="228"/>
      <c r="C49" s="52"/>
      <c r="D49" s="133"/>
      <c r="E49" s="133"/>
      <c r="F49" s="133"/>
      <c r="G49" s="133"/>
      <c r="H49" s="133"/>
      <c r="I49" s="52"/>
      <c r="J49" s="52"/>
      <c r="K49" s="52"/>
      <c r="L49" s="52"/>
      <c r="M49" s="52"/>
      <c r="N49" s="52"/>
      <c r="O49" s="52"/>
    </row>
    <row r="50" spans="1:15" ht="13.5" customHeight="1">
      <c r="A50" s="227"/>
      <c r="B50" s="228"/>
      <c r="C50" s="52"/>
      <c r="D50" s="133"/>
      <c r="E50" s="133"/>
      <c r="F50" s="133"/>
      <c r="G50" s="133"/>
      <c r="H50" s="133"/>
      <c r="I50" s="52"/>
      <c r="J50" s="52"/>
      <c r="K50" s="52"/>
      <c r="L50" s="52"/>
      <c r="M50" s="52"/>
      <c r="N50" s="52"/>
      <c r="O50" s="52"/>
    </row>
    <row r="51" spans="1:15" ht="13.5" customHeight="1">
      <c r="A51" s="227"/>
      <c r="B51" s="228"/>
      <c r="C51" s="52"/>
      <c r="D51" s="133"/>
      <c r="E51" s="133"/>
      <c r="F51" s="133"/>
      <c r="G51" s="133"/>
      <c r="H51" s="133"/>
      <c r="I51" s="52"/>
      <c r="J51" s="52"/>
      <c r="K51" s="52"/>
      <c r="L51" s="52"/>
      <c r="M51" s="52"/>
      <c r="N51" s="52"/>
      <c r="O51" s="52"/>
    </row>
    <row r="52" spans="1:15" ht="13.5" customHeight="1">
      <c r="A52" s="227"/>
      <c r="B52" s="228"/>
      <c r="C52" s="52"/>
      <c r="D52" s="133"/>
      <c r="E52" s="133"/>
      <c r="F52" s="133"/>
      <c r="G52" s="133"/>
      <c r="H52" s="133"/>
      <c r="I52" s="52"/>
      <c r="J52" s="52"/>
      <c r="K52" s="52"/>
      <c r="L52" s="52"/>
      <c r="M52" s="52"/>
      <c r="N52" s="52"/>
      <c r="O52" s="52"/>
    </row>
    <row r="53" spans="1:15" ht="13.5" customHeight="1">
      <c r="A53" s="227"/>
      <c r="B53" s="228"/>
      <c r="C53" s="52"/>
      <c r="D53" s="133"/>
      <c r="E53" s="133"/>
      <c r="F53" s="133"/>
      <c r="G53" s="133"/>
      <c r="H53" s="133"/>
      <c r="I53" s="52"/>
      <c r="J53" s="52"/>
      <c r="K53" s="52"/>
      <c r="L53" s="52"/>
      <c r="M53" s="52"/>
      <c r="N53" s="52"/>
      <c r="O53" s="52"/>
    </row>
    <row r="54" spans="1:15" ht="13.5" customHeight="1">
      <c r="A54" s="227"/>
      <c r="B54" s="228"/>
      <c r="C54" s="52"/>
      <c r="D54" s="133"/>
      <c r="E54" s="133"/>
      <c r="F54" s="133"/>
      <c r="G54" s="133"/>
      <c r="H54" s="133"/>
      <c r="I54" s="52"/>
      <c r="J54" s="52"/>
      <c r="K54" s="52"/>
      <c r="L54" s="52"/>
      <c r="M54" s="52"/>
      <c r="N54" s="52"/>
      <c r="O54" s="52"/>
    </row>
    <row r="55" spans="1:15" ht="13.5" customHeight="1">
      <c r="A55" s="227"/>
      <c r="B55" s="228"/>
      <c r="C55" s="52"/>
      <c r="D55" s="133"/>
      <c r="E55" s="133"/>
      <c r="F55" s="133"/>
      <c r="G55" s="133"/>
      <c r="H55" s="133"/>
      <c r="I55" s="52"/>
      <c r="J55" s="52"/>
      <c r="K55" s="52"/>
      <c r="L55" s="52"/>
      <c r="M55" s="52"/>
      <c r="N55" s="52"/>
      <c r="O55" s="52"/>
    </row>
    <row r="56" spans="1:15" ht="13.5" customHeight="1">
      <c r="A56" s="227"/>
      <c r="B56" s="228"/>
      <c r="C56" s="52"/>
      <c r="D56" s="133"/>
      <c r="E56" s="133"/>
      <c r="F56" s="133"/>
      <c r="G56" s="133"/>
      <c r="H56" s="133"/>
      <c r="I56" s="52"/>
      <c r="J56" s="52"/>
      <c r="K56" s="52"/>
      <c r="L56" s="52"/>
      <c r="M56" s="52"/>
      <c r="N56" s="52"/>
      <c r="O56" s="52"/>
    </row>
    <row r="57" spans="1:15" ht="13.5" customHeight="1">
      <c r="A57" s="227"/>
      <c r="B57" s="228"/>
      <c r="C57" s="52"/>
      <c r="D57" s="133"/>
      <c r="E57" s="133"/>
      <c r="F57" s="133"/>
      <c r="G57" s="133"/>
      <c r="H57" s="133"/>
      <c r="I57" s="52"/>
      <c r="J57" s="52"/>
      <c r="K57" s="52"/>
      <c r="L57" s="52"/>
      <c r="M57" s="52"/>
      <c r="N57" s="52"/>
      <c r="O57" s="52"/>
    </row>
    <row r="58" spans="1:15" ht="13.5" customHeight="1">
      <c r="A58" s="227"/>
      <c r="B58" s="228"/>
      <c r="C58" s="52"/>
      <c r="D58" s="133"/>
      <c r="E58" s="133"/>
      <c r="F58" s="133"/>
      <c r="G58" s="133"/>
      <c r="H58" s="133"/>
      <c r="I58" s="52"/>
      <c r="J58" s="52"/>
      <c r="K58" s="52"/>
      <c r="L58" s="52"/>
      <c r="M58" s="52"/>
      <c r="N58" s="52"/>
      <c r="O58" s="52"/>
    </row>
    <row r="59" spans="1:15" ht="13.5" customHeight="1">
      <c r="A59" s="227"/>
      <c r="B59" s="228"/>
      <c r="C59" s="52"/>
      <c r="D59" s="133"/>
      <c r="E59" s="133"/>
      <c r="F59" s="133"/>
      <c r="G59" s="133"/>
      <c r="H59" s="133"/>
      <c r="I59" s="52"/>
      <c r="J59" s="52"/>
      <c r="K59" s="52"/>
      <c r="L59" s="52"/>
      <c r="M59" s="52"/>
      <c r="N59" s="52"/>
      <c r="O59" s="52"/>
    </row>
    <row r="60" spans="1:15" ht="13.5" customHeight="1">
      <c r="A60" s="227"/>
      <c r="B60" s="228"/>
      <c r="C60" s="52"/>
      <c r="D60" s="133"/>
      <c r="E60" s="133"/>
      <c r="F60" s="133"/>
      <c r="G60" s="133"/>
      <c r="H60" s="133"/>
      <c r="I60" s="52"/>
      <c r="J60" s="52"/>
      <c r="K60" s="52"/>
      <c r="L60" s="52"/>
      <c r="M60" s="52"/>
      <c r="N60" s="52"/>
      <c r="O60" s="52"/>
    </row>
    <row r="61" spans="1:15" ht="13.5" customHeight="1">
      <c r="A61" s="227"/>
      <c r="B61" s="228"/>
      <c r="C61" s="52"/>
      <c r="D61" s="133"/>
      <c r="E61" s="133"/>
      <c r="F61" s="133"/>
      <c r="G61" s="133"/>
      <c r="H61" s="133"/>
      <c r="I61" s="52"/>
      <c r="J61" s="52"/>
      <c r="K61" s="52"/>
      <c r="L61" s="52"/>
      <c r="M61" s="52"/>
      <c r="N61" s="52"/>
      <c r="O61" s="52"/>
    </row>
    <row r="62" spans="1:15" ht="13.5" customHeight="1">
      <c r="A62" s="227"/>
      <c r="B62" s="228"/>
      <c r="C62" s="52"/>
      <c r="D62" s="133"/>
      <c r="E62" s="133"/>
      <c r="F62" s="133"/>
      <c r="G62" s="133"/>
      <c r="H62" s="133"/>
      <c r="I62" s="52"/>
      <c r="J62" s="52"/>
      <c r="K62" s="52"/>
      <c r="L62" s="52"/>
      <c r="M62" s="52"/>
      <c r="N62" s="52"/>
      <c r="O62" s="52"/>
    </row>
    <row r="63" spans="1:15" ht="13.5" customHeight="1">
      <c r="A63" s="227"/>
      <c r="B63" s="228"/>
      <c r="C63" s="52"/>
      <c r="D63" s="133"/>
      <c r="E63" s="133"/>
      <c r="F63" s="133"/>
      <c r="G63" s="133"/>
      <c r="H63" s="133"/>
      <c r="I63" s="52"/>
      <c r="J63" s="52"/>
      <c r="K63" s="52"/>
      <c r="L63" s="52"/>
      <c r="M63" s="52"/>
      <c r="N63" s="52"/>
      <c r="O63" s="52"/>
    </row>
    <row r="64" spans="1:15" ht="13.5" customHeight="1">
      <c r="A64" s="227"/>
      <c r="B64" s="228"/>
      <c r="C64" s="52"/>
      <c r="D64" s="133"/>
      <c r="E64" s="133"/>
      <c r="F64" s="133"/>
      <c r="G64" s="133"/>
      <c r="H64" s="133"/>
      <c r="I64" s="52"/>
      <c r="J64" s="52"/>
      <c r="K64" s="52"/>
      <c r="L64" s="52"/>
      <c r="M64" s="52"/>
      <c r="N64" s="52"/>
      <c r="O64" s="52"/>
    </row>
    <row r="65" spans="1:15" ht="13.5" customHeight="1">
      <c r="A65" s="227"/>
      <c r="B65" s="228"/>
      <c r="C65" s="52"/>
      <c r="D65" s="133"/>
      <c r="E65" s="133"/>
      <c r="F65" s="133"/>
      <c r="G65" s="133"/>
      <c r="H65" s="133"/>
      <c r="I65" s="52"/>
      <c r="J65" s="52"/>
      <c r="K65" s="52"/>
      <c r="L65" s="52"/>
      <c r="M65" s="52"/>
      <c r="N65" s="52"/>
      <c r="O65" s="52"/>
    </row>
    <row r="66" spans="1:15" ht="13.5" customHeight="1">
      <c r="A66" s="227"/>
      <c r="B66" s="228"/>
      <c r="C66" s="52"/>
      <c r="D66" s="133"/>
      <c r="E66" s="133"/>
      <c r="F66" s="133"/>
      <c r="G66" s="133"/>
      <c r="H66" s="133"/>
      <c r="I66" s="52"/>
      <c r="J66" s="52"/>
      <c r="K66" s="52"/>
      <c r="L66" s="52"/>
      <c r="M66" s="52"/>
      <c r="N66" s="52"/>
      <c r="O66" s="52"/>
    </row>
    <row r="67" spans="1:15" ht="13.5" customHeight="1">
      <c r="A67" s="227"/>
      <c r="B67" s="228"/>
      <c r="C67" s="52"/>
      <c r="D67" s="133"/>
      <c r="E67" s="133"/>
      <c r="F67" s="133"/>
      <c r="G67" s="133"/>
      <c r="H67" s="133"/>
      <c r="I67" s="52"/>
      <c r="J67" s="52"/>
      <c r="K67" s="52"/>
      <c r="L67" s="52"/>
      <c r="M67" s="52"/>
      <c r="N67" s="52"/>
      <c r="O67" s="52"/>
    </row>
    <row r="68" spans="1:15" ht="13.5" customHeight="1">
      <c r="A68" s="227"/>
      <c r="B68" s="228"/>
      <c r="C68" s="52"/>
      <c r="D68" s="133"/>
      <c r="E68" s="133"/>
      <c r="F68" s="133"/>
      <c r="G68" s="133"/>
      <c r="H68" s="133"/>
      <c r="I68" s="52"/>
      <c r="J68" s="52"/>
      <c r="K68" s="52"/>
      <c r="L68" s="52"/>
      <c r="M68" s="52"/>
      <c r="N68" s="52"/>
      <c r="O68" s="52"/>
    </row>
    <row r="69" spans="1:15" ht="13.5" customHeight="1">
      <c r="A69" s="227"/>
      <c r="B69" s="228"/>
      <c r="C69" s="52"/>
      <c r="D69" s="133"/>
      <c r="E69" s="133"/>
      <c r="F69" s="133"/>
      <c r="G69" s="133"/>
      <c r="H69" s="133"/>
      <c r="I69" s="52"/>
      <c r="J69" s="52"/>
      <c r="K69" s="52"/>
      <c r="L69" s="52"/>
      <c r="M69" s="52"/>
      <c r="N69" s="52"/>
      <c r="O69" s="52"/>
    </row>
    <row r="70" spans="1:15" ht="13.5" customHeight="1">
      <c r="A70" s="227"/>
      <c r="B70" s="228"/>
      <c r="C70" s="52"/>
      <c r="D70" s="133"/>
      <c r="E70" s="133"/>
      <c r="F70" s="133"/>
      <c r="G70" s="133"/>
      <c r="H70" s="133"/>
      <c r="I70" s="52"/>
      <c r="J70" s="52"/>
      <c r="K70" s="52"/>
      <c r="L70" s="52"/>
      <c r="M70" s="52"/>
      <c r="N70" s="52"/>
      <c r="O70" s="52"/>
    </row>
    <row r="71" spans="1:15" ht="13.5" customHeight="1">
      <c r="A71" s="227"/>
      <c r="B71" s="228"/>
      <c r="C71" s="52"/>
      <c r="D71" s="133"/>
      <c r="E71" s="133"/>
      <c r="F71" s="133"/>
      <c r="G71" s="133"/>
      <c r="H71" s="133"/>
      <c r="I71" s="52"/>
      <c r="J71" s="52"/>
      <c r="K71" s="52"/>
      <c r="L71" s="52"/>
      <c r="M71" s="52"/>
      <c r="N71" s="52"/>
      <c r="O71" s="52"/>
    </row>
    <row r="72" spans="1:15" ht="13.5" customHeight="1">
      <c r="A72" s="227"/>
      <c r="B72" s="228"/>
      <c r="C72" s="52"/>
      <c r="D72" s="133"/>
      <c r="E72" s="133"/>
      <c r="F72" s="133"/>
      <c r="G72" s="133"/>
      <c r="H72" s="133"/>
      <c r="I72" s="52"/>
      <c r="J72" s="52"/>
      <c r="K72" s="52"/>
      <c r="L72" s="52"/>
      <c r="M72" s="52"/>
      <c r="N72" s="52"/>
      <c r="O72" s="52"/>
    </row>
    <row r="73" spans="1:15" ht="13.5" customHeight="1">
      <c r="A73" s="227"/>
      <c r="B73" s="228"/>
      <c r="C73" s="52"/>
      <c r="D73" s="133"/>
      <c r="E73" s="133"/>
      <c r="F73" s="133"/>
      <c r="G73" s="133"/>
      <c r="H73" s="133"/>
      <c r="I73" s="52"/>
      <c r="J73" s="52"/>
      <c r="K73" s="52"/>
      <c r="L73" s="52"/>
      <c r="M73" s="52"/>
      <c r="N73" s="52"/>
      <c r="O73" s="52"/>
    </row>
    <row r="74" spans="1:15" ht="13.5" customHeight="1">
      <c r="A74" s="227"/>
      <c r="B74" s="228"/>
      <c r="C74" s="52"/>
      <c r="D74" s="133"/>
      <c r="E74" s="133"/>
      <c r="F74" s="133"/>
      <c r="G74" s="133"/>
      <c r="H74" s="133"/>
      <c r="I74" s="52"/>
      <c r="J74" s="52"/>
      <c r="K74" s="52"/>
      <c r="L74" s="52"/>
      <c r="M74" s="52"/>
      <c r="N74" s="52"/>
      <c r="O74" s="52"/>
    </row>
    <row r="75" spans="1:15" ht="13.5" customHeight="1">
      <c r="A75" s="227"/>
      <c r="B75" s="228"/>
      <c r="C75" s="52"/>
      <c r="D75" s="133"/>
      <c r="E75" s="133"/>
      <c r="F75" s="133"/>
      <c r="G75" s="133"/>
      <c r="H75" s="133"/>
      <c r="I75" s="52"/>
      <c r="J75" s="52"/>
      <c r="K75" s="52"/>
      <c r="L75" s="52"/>
      <c r="M75" s="52"/>
      <c r="N75" s="52"/>
      <c r="O75" s="52"/>
    </row>
    <row r="76" spans="1:15" ht="13.5" customHeight="1">
      <c r="A76" s="227"/>
      <c r="B76" s="228"/>
      <c r="C76" s="52"/>
      <c r="D76" s="133"/>
      <c r="E76" s="133"/>
      <c r="F76" s="133"/>
      <c r="G76" s="133"/>
      <c r="H76" s="133"/>
      <c r="I76" s="52"/>
      <c r="J76" s="52"/>
      <c r="K76" s="52"/>
      <c r="L76" s="52"/>
      <c r="M76" s="52"/>
      <c r="N76" s="52"/>
      <c r="O76" s="52"/>
    </row>
    <row r="77" spans="1:15" ht="13.5" customHeight="1">
      <c r="A77" s="227"/>
      <c r="B77" s="228"/>
      <c r="C77" s="52"/>
      <c r="D77" s="133"/>
      <c r="E77" s="133"/>
      <c r="F77" s="133"/>
      <c r="G77" s="133"/>
      <c r="H77" s="133"/>
      <c r="I77" s="52"/>
      <c r="J77" s="52"/>
      <c r="K77" s="52"/>
      <c r="L77" s="52"/>
      <c r="M77" s="52"/>
      <c r="N77" s="52"/>
      <c r="O77" s="52"/>
    </row>
    <row r="78" spans="1:15" ht="13.5" customHeight="1">
      <c r="A78" s="227"/>
      <c r="B78" s="228"/>
      <c r="C78" s="52"/>
      <c r="D78" s="133"/>
      <c r="E78" s="133"/>
      <c r="F78" s="133"/>
      <c r="G78" s="133"/>
      <c r="H78" s="133"/>
      <c r="I78" s="52"/>
      <c r="J78" s="52"/>
      <c r="K78" s="52"/>
      <c r="L78" s="52"/>
      <c r="M78" s="52"/>
      <c r="N78" s="52"/>
      <c r="O78" s="52"/>
    </row>
    <row r="79" spans="1:15" ht="13.5" customHeight="1">
      <c r="A79" s="227"/>
      <c r="B79" s="228"/>
      <c r="C79" s="52"/>
      <c r="D79" s="133"/>
      <c r="E79" s="133"/>
      <c r="F79" s="133"/>
      <c r="G79" s="133"/>
      <c r="H79" s="133"/>
      <c r="I79" s="52"/>
      <c r="J79" s="52"/>
      <c r="K79" s="52"/>
      <c r="L79" s="52"/>
      <c r="M79" s="52"/>
      <c r="N79" s="52"/>
      <c r="O79" s="52"/>
    </row>
    <row r="80" spans="1:15" ht="13.5" customHeight="1">
      <c r="A80" s="227"/>
      <c r="B80" s="228"/>
      <c r="C80" s="52"/>
      <c r="D80" s="133"/>
      <c r="E80" s="133"/>
      <c r="F80" s="133"/>
      <c r="G80" s="133"/>
      <c r="H80" s="133"/>
      <c r="I80" s="52"/>
      <c r="J80" s="52"/>
      <c r="K80" s="52"/>
      <c r="L80" s="52"/>
      <c r="M80" s="52"/>
      <c r="N80" s="52"/>
      <c r="O80" s="52"/>
    </row>
    <row r="81" spans="1:15" ht="13.5" customHeight="1">
      <c r="A81" s="227"/>
      <c r="B81" s="228"/>
      <c r="C81" s="52"/>
      <c r="D81" s="133"/>
      <c r="E81" s="133"/>
      <c r="F81" s="133"/>
      <c r="G81" s="133"/>
      <c r="H81" s="133"/>
      <c r="I81" s="52"/>
      <c r="J81" s="52"/>
      <c r="K81" s="52"/>
      <c r="L81" s="52"/>
      <c r="M81" s="52"/>
      <c r="N81" s="52"/>
      <c r="O81" s="52"/>
    </row>
    <row r="82" spans="1:15" ht="13.5" customHeight="1">
      <c r="A82" s="227"/>
      <c r="B82" s="228"/>
      <c r="C82" s="52"/>
      <c r="D82" s="133"/>
      <c r="E82" s="133"/>
      <c r="F82" s="133"/>
      <c r="G82" s="133"/>
      <c r="H82" s="133"/>
      <c r="I82" s="52"/>
      <c r="J82" s="52"/>
      <c r="K82" s="52"/>
      <c r="L82" s="52"/>
      <c r="M82" s="52"/>
      <c r="N82" s="52"/>
      <c r="O82" s="52"/>
    </row>
    <row r="83" spans="1:15" ht="13.5" customHeight="1">
      <c r="A83" s="227"/>
      <c r="B83" s="228"/>
      <c r="C83" s="52"/>
      <c r="D83" s="133"/>
      <c r="E83" s="133"/>
      <c r="F83" s="133"/>
      <c r="G83" s="133"/>
      <c r="H83" s="133"/>
      <c r="I83" s="52"/>
      <c r="J83" s="52"/>
      <c r="K83" s="52"/>
      <c r="L83" s="52"/>
      <c r="M83" s="52"/>
      <c r="N83" s="52"/>
      <c r="O83" s="52"/>
    </row>
    <row r="84" spans="1:15" ht="13.5" customHeight="1">
      <c r="A84" s="227"/>
      <c r="B84" s="228"/>
      <c r="C84" s="52"/>
      <c r="D84" s="133"/>
      <c r="E84" s="133"/>
      <c r="F84" s="133"/>
      <c r="G84" s="133"/>
      <c r="H84" s="133"/>
      <c r="I84" s="52"/>
      <c r="J84" s="52"/>
      <c r="K84" s="52"/>
      <c r="L84" s="52"/>
      <c r="M84" s="52"/>
      <c r="N84" s="52"/>
      <c r="O84" s="52"/>
    </row>
    <row r="85" spans="1:15" ht="13.5" customHeight="1">
      <c r="A85" s="227"/>
      <c r="B85" s="228"/>
      <c r="C85" s="52"/>
      <c r="D85" s="133"/>
      <c r="E85" s="133"/>
      <c r="F85" s="133"/>
      <c r="G85" s="133"/>
      <c r="H85" s="133"/>
      <c r="I85" s="52"/>
      <c r="J85" s="52"/>
      <c r="K85" s="52"/>
      <c r="L85" s="52"/>
      <c r="M85" s="52"/>
      <c r="N85" s="52"/>
      <c r="O85" s="52"/>
    </row>
    <row r="86" spans="1:15" ht="13.5" customHeight="1">
      <c r="A86" s="227"/>
      <c r="B86" s="228"/>
      <c r="C86" s="52"/>
      <c r="D86" s="133"/>
      <c r="E86" s="133"/>
      <c r="F86" s="133"/>
      <c r="G86" s="133"/>
      <c r="H86" s="133"/>
      <c r="I86" s="52"/>
      <c r="J86" s="52"/>
      <c r="K86" s="52"/>
      <c r="L86" s="52"/>
      <c r="M86" s="52"/>
      <c r="N86" s="52"/>
      <c r="O86" s="52"/>
    </row>
    <row r="87" spans="1:15" ht="13.5" customHeight="1">
      <c r="A87" s="227"/>
      <c r="B87" s="228"/>
      <c r="C87" s="52"/>
      <c r="D87" s="133"/>
      <c r="E87" s="133"/>
      <c r="F87" s="133"/>
      <c r="G87" s="133"/>
      <c r="H87" s="133"/>
      <c r="I87" s="52"/>
      <c r="J87" s="52"/>
      <c r="K87" s="52"/>
      <c r="L87" s="52"/>
      <c r="M87" s="52"/>
      <c r="N87" s="52"/>
      <c r="O87" s="52"/>
    </row>
    <row r="88" spans="1:15" ht="13.5" customHeight="1">
      <c r="A88" s="227"/>
      <c r="B88" s="228"/>
      <c r="C88" s="52"/>
      <c r="D88" s="133"/>
      <c r="E88" s="133"/>
      <c r="F88" s="133"/>
      <c r="G88" s="133"/>
      <c r="H88" s="133"/>
      <c r="I88" s="52"/>
      <c r="J88" s="52"/>
      <c r="K88" s="52"/>
      <c r="L88" s="52"/>
      <c r="M88" s="52"/>
      <c r="N88" s="52"/>
      <c r="O88" s="52"/>
    </row>
    <row r="89" spans="1:15" ht="13.5" customHeight="1">
      <c r="A89" s="227"/>
      <c r="B89" s="228"/>
      <c r="C89" s="52"/>
      <c r="D89" s="133"/>
      <c r="E89" s="133"/>
      <c r="F89" s="133"/>
      <c r="G89" s="133"/>
      <c r="H89" s="133"/>
      <c r="I89" s="52"/>
      <c r="J89" s="52"/>
      <c r="K89" s="52"/>
      <c r="L89" s="52"/>
      <c r="M89" s="52"/>
      <c r="N89" s="52"/>
      <c r="O89" s="52"/>
    </row>
    <row r="90" spans="1:15" ht="13.5" customHeight="1">
      <c r="A90" s="227"/>
      <c r="B90" s="228"/>
      <c r="C90" s="52"/>
      <c r="D90" s="133"/>
      <c r="E90" s="133"/>
      <c r="F90" s="133"/>
      <c r="G90" s="133"/>
      <c r="H90" s="133"/>
      <c r="I90" s="52"/>
      <c r="J90" s="52"/>
      <c r="K90" s="52"/>
      <c r="L90" s="52"/>
      <c r="M90" s="52"/>
      <c r="N90" s="52"/>
      <c r="O90" s="52"/>
    </row>
    <row r="91" spans="1:15" ht="13.5" customHeight="1">
      <c r="A91" s="227"/>
      <c r="B91" s="228"/>
      <c r="C91" s="52"/>
      <c r="D91" s="133"/>
      <c r="E91" s="133"/>
      <c r="F91" s="133"/>
      <c r="G91" s="133"/>
      <c r="H91" s="133"/>
      <c r="I91" s="52"/>
      <c r="J91" s="52"/>
      <c r="K91" s="52"/>
      <c r="L91" s="52"/>
      <c r="M91" s="52"/>
      <c r="N91" s="52"/>
      <c r="O91" s="52"/>
    </row>
    <row r="92" spans="1:15" ht="13.5" customHeight="1">
      <c r="A92" s="227"/>
      <c r="B92" s="228"/>
      <c r="C92" s="52"/>
      <c r="D92" s="133"/>
      <c r="E92" s="133"/>
      <c r="F92" s="133"/>
      <c r="G92" s="133"/>
      <c r="H92" s="133"/>
      <c r="I92" s="52"/>
      <c r="J92" s="52"/>
      <c r="K92" s="52"/>
      <c r="L92" s="52"/>
      <c r="M92" s="52"/>
      <c r="N92" s="52"/>
      <c r="O92" s="52"/>
    </row>
    <row r="93" spans="1:15" ht="13.5" customHeight="1">
      <c r="A93" s="227"/>
      <c r="B93" s="228"/>
      <c r="C93" s="52"/>
      <c r="D93" s="133"/>
      <c r="E93" s="133"/>
      <c r="F93" s="133"/>
      <c r="G93" s="133"/>
      <c r="H93" s="133"/>
      <c r="I93" s="52"/>
      <c r="J93" s="52"/>
      <c r="K93" s="52"/>
      <c r="L93" s="52"/>
      <c r="M93" s="52"/>
      <c r="N93" s="52"/>
      <c r="O93" s="52"/>
    </row>
    <row r="94" spans="1:15" ht="13.5" customHeight="1">
      <c r="A94" s="227"/>
      <c r="B94" s="228"/>
      <c r="C94" s="52"/>
      <c r="D94" s="133"/>
      <c r="E94" s="133"/>
      <c r="F94" s="133"/>
      <c r="G94" s="133"/>
      <c r="H94" s="133"/>
      <c r="I94" s="52"/>
      <c r="J94" s="52"/>
      <c r="K94" s="52"/>
      <c r="L94" s="52"/>
      <c r="M94" s="52"/>
      <c r="N94" s="52"/>
      <c r="O94" s="52"/>
    </row>
    <row r="95" spans="1:15" ht="13.5" customHeight="1">
      <c r="A95" s="227"/>
      <c r="B95" s="228"/>
      <c r="C95" s="52"/>
      <c r="D95" s="133"/>
      <c r="E95" s="133"/>
      <c r="F95" s="133"/>
      <c r="G95" s="133"/>
      <c r="H95" s="133"/>
      <c r="I95" s="52"/>
      <c r="J95" s="52"/>
      <c r="K95" s="52"/>
      <c r="L95" s="52"/>
      <c r="M95" s="52"/>
      <c r="N95" s="52"/>
      <c r="O95" s="52"/>
    </row>
    <row r="96" spans="1:15" ht="13.5" customHeight="1">
      <c r="A96" s="227"/>
      <c r="B96" s="228"/>
      <c r="C96" s="52"/>
      <c r="D96" s="133"/>
      <c r="E96" s="133"/>
      <c r="F96" s="133"/>
      <c r="G96" s="133"/>
      <c r="H96" s="133"/>
      <c r="I96" s="52"/>
      <c r="J96" s="52"/>
      <c r="K96" s="52"/>
      <c r="L96" s="52"/>
      <c r="M96" s="52"/>
      <c r="N96" s="52"/>
      <c r="O96" s="52"/>
    </row>
    <row r="97" spans="1:15" ht="13.5" customHeight="1">
      <c r="A97" s="227"/>
      <c r="B97" s="228"/>
      <c r="C97" s="52"/>
      <c r="D97" s="133"/>
      <c r="E97" s="133"/>
      <c r="F97" s="133"/>
      <c r="G97" s="133"/>
      <c r="H97" s="133"/>
      <c r="I97" s="52"/>
      <c r="J97" s="52"/>
      <c r="K97" s="52"/>
      <c r="L97" s="52"/>
      <c r="M97" s="52"/>
      <c r="N97" s="52"/>
      <c r="O97" s="52"/>
    </row>
    <row r="98" spans="1:15" ht="13.5" customHeight="1">
      <c r="A98" s="227"/>
      <c r="B98" s="228"/>
      <c r="C98" s="52"/>
      <c r="D98" s="133"/>
      <c r="E98" s="133"/>
      <c r="F98" s="133"/>
      <c r="G98" s="133"/>
      <c r="H98" s="133"/>
      <c r="I98" s="52"/>
      <c r="J98" s="52"/>
      <c r="K98" s="52"/>
      <c r="L98" s="52"/>
      <c r="M98" s="52"/>
      <c r="N98" s="52"/>
      <c r="O98" s="52"/>
    </row>
    <row r="99" spans="1:15" ht="13.5" customHeight="1">
      <c r="A99" s="227"/>
      <c r="B99" s="228"/>
      <c r="C99" s="52"/>
      <c r="D99" s="133"/>
      <c r="E99" s="133"/>
      <c r="F99" s="133"/>
      <c r="G99" s="133"/>
      <c r="H99" s="133"/>
      <c r="I99" s="52"/>
      <c r="J99" s="52"/>
      <c r="K99" s="52"/>
      <c r="L99" s="52"/>
      <c r="M99" s="52"/>
      <c r="N99" s="52"/>
      <c r="O99" s="52"/>
    </row>
    <row r="100" spans="1:15" ht="13.5" customHeight="1">
      <c r="A100" s="227"/>
      <c r="B100" s="228"/>
      <c r="C100" s="52"/>
      <c r="D100" s="133"/>
      <c r="E100" s="133"/>
      <c r="F100" s="133"/>
      <c r="G100" s="133"/>
      <c r="H100" s="133"/>
      <c r="I100" s="52"/>
      <c r="J100" s="52"/>
      <c r="K100" s="52"/>
      <c r="L100" s="52"/>
      <c r="M100" s="52"/>
      <c r="N100" s="52"/>
      <c r="O100" s="52"/>
    </row>
    <row r="101" spans="1:15" ht="13.5" customHeight="1">
      <c r="A101" s="227"/>
      <c r="B101" s="228"/>
      <c r="C101" s="52"/>
      <c r="D101" s="133"/>
      <c r="E101" s="133"/>
      <c r="F101" s="133"/>
      <c r="G101" s="133"/>
      <c r="H101" s="133"/>
      <c r="I101" s="52"/>
      <c r="J101" s="52"/>
      <c r="K101" s="52"/>
      <c r="L101" s="52"/>
      <c r="M101" s="52"/>
      <c r="N101" s="52"/>
      <c r="O101" s="52"/>
    </row>
    <row r="102" spans="1:15" ht="13.5" customHeight="1">
      <c r="A102" s="227"/>
      <c r="B102" s="228"/>
      <c r="C102" s="52"/>
      <c r="D102" s="133"/>
      <c r="E102" s="133"/>
      <c r="F102" s="133"/>
      <c r="G102" s="133"/>
      <c r="H102" s="133"/>
      <c r="I102" s="52"/>
      <c r="J102" s="52"/>
      <c r="K102" s="52"/>
      <c r="L102" s="52"/>
      <c r="M102" s="52"/>
      <c r="N102" s="52"/>
      <c r="O102" s="52"/>
    </row>
    <row r="103" spans="1:15" ht="13.5" customHeight="1">
      <c r="A103" s="227"/>
      <c r="B103" s="228"/>
      <c r="C103" s="52"/>
      <c r="D103" s="133"/>
      <c r="E103" s="133"/>
      <c r="F103" s="133"/>
      <c r="G103" s="133"/>
      <c r="H103" s="133"/>
      <c r="I103" s="52"/>
      <c r="J103" s="52"/>
      <c r="K103" s="52"/>
      <c r="L103" s="52"/>
      <c r="M103" s="52"/>
      <c r="N103" s="52"/>
      <c r="O103" s="52"/>
    </row>
    <row r="104" spans="1:15" ht="13.5" customHeight="1">
      <c r="A104" s="227"/>
      <c r="B104" s="228"/>
      <c r="C104" s="52"/>
      <c r="D104" s="133">
        <v>2020</v>
      </c>
      <c r="E104" s="133">
        <v>2021</v>
      </c>
      <c r="F104" s="133">
        <v>2022</v>
      </c>
      <c r="G104" s="133">
        <v>2023</v>
      </c>
      <c r="H104" s="133">
        <v>2024</v>
      </c>
      <c r="I104" s="52"/>
      <c r="J104" s="52"/>
      <c r="K104" s="52"/>
      <c r="L104" s="52"/>
      <c r="M104" s="52"/>
      <c r="N104" s="52"/>
      <c r="O104" s="52"/>
    </row>
    <row r="105" spans="1:15" ht="13.5" customHeight="1">
      <c r="A105" s="227"/>
      <c r="B105" s="228"/>
      <c r="C105" s="52"/>
      <c r="D105" s="133">
        <v>7800000</v>
      </c>
      <c r="E105" s="133">
        <v>8580000</v>
      </c>
      <c r="F105" s="133">
        <v>9438000</v>
      </c>
      <c r="G105" s="133">
        <v>9909900</v>
      </c>
      <c r="H105" s="133">
        <v>10405395</v>
      </c>
      <c r="I105" s="52"/>
      <c r="J105" s="52"/>
      <c r="K105" s="52"/>
      <c r="L105" s="52"/>
      <c r="M105" s="52"/>
      <c r="N105" s="52"/>
      <c r="O105" s="52"/>
    </row>
    <row r="106" spans="1:15" ht="13.5" customHeight="1">
      <c r="A106" s="227"/>
      <c r="B106" s="228"/>
      <c r="C106" s="52"/>
      <c r="D106" s="133">
        <v>82075621</v>
      </c>
      <c r="E106" s="133">
        <v>89266621</v>
      </c>
      <c r="F106" s="133">
        <v>97176721</v>
      </c>
      <c r="G106" s="133">
        <v>101527276</v>
      </c>
      <c r="H106" s="133">
        <v>106095359</v>
      </c>
      <c r="I106" s="52"/>
      <c r="J106" s="52"/>
      <c r="K106" s="52"/>
      <c r="L106" s="52"/>
      <c r="M106" s="52"/>
      <c r="N106" s="52"/>
      <c r="O106" s="52"/>
    </row>
    <row r="107" spans="1:15" ht="13.5" customHeight="1">
      <c r="A107" s="227"/>
      <c r="B107" s="228"/>
      <c r="C107" s="52"/>
      <c r="D107" s="133">
        <v>41016065</v>
      </c>
      <c r="E107" s="133">
        <v>43844765</v>
      </c>
      <c r="F107" s="133">
        <v>50727126</v>
      </c>
      <c r="G107" s="133">
        <v>55238883</v>
      </c>
      <c r="H107" s="133">
        <v>60034881</v>
      </c>
      <c r="I107" s="52"/>
      <c r="J107" s="52"/>
      <c r="K107" s="52"/>
      <c r="L107" s="52"/>
      <c r="M107" s="52"/>
      <c r="N107" s="52"/>
      <c r="O107" s="52"/>
    </row>
    <row r="108" spans="1:15" ht="13.5" customHeight="1">
      <c r="A108" s="227"/>
      <c r="B108" s="228"/>
      <c r="C108" s="52"/>
      <c r="D108" s="133"/>
      <c r="E108" s="133"/>
      <c r="F108" s="133"/>
      <c r="G108" s="133"/>
      <c r="H108" s="133"/>
      <c r="I108" s="52"/>
      <c r="J108" s="52"/>
      <c r="K108" s="52"/>
      <c r="L108" s="52"/>
      <c r="M108" s="52"/>
      <c r="N108" s="52"/>
      <c r="O108" s="52"/>
    </row>
    <row r="109" spans="1:15" ht="13.5" customHeight="1">
      <c r="A109" s="227"/>
      <c r="B109" s="228"/>
      <c r="C109" s="52"/>
      <c r="D109" s="133"/>
      <c r="E109" s="133"/>
      <c r="F109" s="133"/>
      <c r="G109" s="133"/>
      <c r="H109" s="133"/>
      <c r="I109" s="52"/>
      <c r="J109" s="52"/>
      <c r="K109" s="52"/>
      <c r="L109" s="52"/>
      <c r="M109" s="52"/>
      <c r="N109" s="52"/>
      <c r="O109" s="52"/>
    </row>
    <row r="110" spans="1:15" ht="13.5" customHeight="1">
      <c r="A110" s="227"/>
      <c r="B110" s="228"/>
      <c r="C110" s="52"/>
      <c r="D110" s="133"/>
      <c r="E110" s="133"/>
      <c r="F110" s="133"/>
      <c r="G110" s="133"/>
      <c r="H110" s="133"/>
      <c r="I110" s="52"/>
      <c r="J110" s="52"/>
      <c r="K110" s="52"/>
      <c r="L110" s="52"/>
      <c r="M110" s="52"/>
      <c r="N110" s="52"/>
      <c r="O110" s="52"/>
    </row>
    <row r="111" spans="1:15" ht="13.5" customHeight="1">
      <c r="A111" s="227"/>
      <c r="B111" s="228"/>
      <c r="C111" s="52"/>
      <c r="D111" s="133"/>
      <c r="E111" s="133"/>
      <c r="F111" s="133"/>
      <c r="G111" s="133"/>
      <c r="H111" s="133"/>
      <c r="I111" s="52"/>
      <c r="J111" s="52"/>
      <c r="K111" s="52"/>
      <c r="L111" s="52"/>
      <c r="M111" s="52"/>
      <c r="N111" s="52"/>
      <c r="O111" s="52"/>
    </row>
    <row r="112" spans="1:15" ht="13.5" customHeight="1">
      <c r="A112" s="227"/>
      <c r="B112" s="228"/>
      <c r="C112" s="52"/>
      <c r="D112" s="133"/>
      <c r="E112" s="133"/>
      <c r="F112" s="133"/>
      <c r="G112" s="133"/>
      <c r="H112" s="133"/>
      <c r="I112" s="52"/>
      <c r="J112" s="52"/>
      <c r="K112" s="52"/>
      <c r="L112" s="52"/>
      <c r="M112" s="52"/>
      <c r="N112" s="52"/>
      <c r="O112" s="52"/>
    </row>
    <row r="113" spans="1:15" ht="13.5" customHeight="1">
      <c r="A113" s="227"/>
      <c r="B113" s="228"/>
      <c r="C113" s="52"/>
      <c r="D113" s="133"/>
      <c r="E113" s="133"/>
      <c r="F113" s="133"/>
      <c r="G113" s="133"/>
      <c r="H113" s="133"/>
      <c r="I113" s="52"/>
      <c r="J113" s="52"/>
      <c r="K113" s="52"/>
      <c r="L113" s="52"/>
      <c r="M113" s="52"/>
      <c r="N113" s="52"/>
      <c r="O113" s="52"/>
    </row>
    <row r="114" spans="1:15" ht="13.5" customHeight="1">
      <c r="A114" s="227"/>
      <c r="B114" s="228"/>
      <c r="C114" s="52"/>
      <c r="D114" s="133"/>
      <c r="E114" s="133"/>
      <c r="F114" s="133"/>
      <c r="G114" s="133"/>
      <c r="H114" s="133"/>
      <c r="I114" s="52"/>
      <c r="J114" s="52"/>
      <c r="K114" s="52"/>
      <c r="L114" s="52"/>
      <c r="M114" s="52"/>
      <c r="N114" s="52"/>
      <c r="O114" s="52"/>
    </row>
    <row r="115" spans="1:15" ht="13.5" customHeight="1">
      <c r="A115" s="227"/>
      <c r="B115" s="228"/>
      <c r="C115" s="52"/>
      <c r="D115" s="133"/>
      <c r="E115" s="133"/>
      <c r="F115" s="133"/>
      <c r="G115" s="133"/>
      <c r="H115" s="133"/>
      <c r="I115" s="52"/>
      <c r="J115" s="52"/>
      <c r="K115" s="52"/>
      <c r="L115" s="52"/>
      <c r="M115" s="52"/>
      <c r="N115" s="52"/>
      <c r="O115" s="52"/>
    </row>
    <row r="116" spans="1:15" ht="13.5" customHeight="1">
      <c r="A116" s="227"/>
      <c r="B116" s="228"/>
      <c r="C116" s="52"/>
      <c r="D116" s="133"/>
      <c r="E116" s="133"/>
      <c r="F116" s="133"/>
      <c r="G116" s="133"/>
      <c r="H116" s="133"/>
      <c r="I116" s="52"/>
      <c r="J116" s="52"/>
      <c r="K116" s="52"/>
      <c r="L116" s="52"/>
      <c r="M116" s="52"/>
      <c r="N116" s="52"/>
      <c r="O116" s="52"/>
    </row>
    <row r="117" spans="1:15" ht="13.5" customHeight="1">
      <c r="A117" s="1"/>
      <c r="B117" s="1"/>
      <c r="C117" s="52"/>
      <c r="D117" s="133"/>
      <c r="E117" s="133"/>
      <c r="F117" s="133"/>
      <c r="G117" s="133"/>
      <c r="H117" s="133"/>
      <c r="I117" s="52"/>
      <c r="J117" s="52"/>
      <c r="K117" s="52"/>
      <c r="L117" s="52"/>
      <c r="M117" s="52"/>
      <c r="N117" s="52"/>
      <c r="O117" s="52"/>
    </row>
    <row r="118" spans="1:15" ht="13.5" customHeight="1">
      <c r="A118" s="1"/>
      <c r="B118" s="1"/>
      <c r="C118" s="52"/>
      <c r="D118" s="133"/>
      <c r="E118" s="133"/>
      <c r="F118" s="133"/>
      <c r="G118" s="133"/>
      <c r="H118" s="133"/>
      <c r="I118" s="52"/>
      <c r="J118" s="52"/>
      <c r="K118" s="52"/>
      <c r="L118" s="52"/>
      <c r="M118" s="52"/>
      <c r="N118" s="52"/>
      <c r="O118" s="52"/>
    </row>
    <row r="119" spans="1:15" ht="13.5" customHeight="1">
      <c r="A119" s="1"/>
      <c r="B119" s="1"/>
      <c r="C119" s="52"/>
      <c r="D119" s="133"/>
      <c r="E119" s="133"/>
      <c r="F119" s="133"/>
      <c r="G119" s="133"/>
      <c r="H119" s="133"/>
      <c r="I119" s="52"/>
      <c r="J119" s="52"/>
      <c r="K119" s="52"/>
      <c r="L119" s="52"/>
      <c r="M119" s="52"/>
      <c r="N119" s="52"/>
      <c r="O119" s="52"/>
    </row>
    <row r="120" spans="1:15" ht="13.5" customHeight="1">
      <c r="A120" s="1"/>
      <c r="B120" s="1"/>
      <c r="C120" s="52"/>
      <c r="D120" s="133" t="e">
        <v>#REF!</v>
      </c>
      <c r="E120" s="133"/>
      <c r="F120" s="133"/>
      <c r="G120" s="133"/>
      <c r="H120" s="133"/>
      <c r="I120" s="52"/>
      <c r="J120" s="52"/>
      <c r="K120" s="52"/>
      <c r="L120" s="52"/>
      <c r="M120" s="52"/>
      <c r="N120" s="52"/>
      <c r="O120" s="52"/>
    </row>
    <row r="121" spans="1:15" ht="13.5" customHeight="1">
      <c r="A121" s="1"/>
      <c r="B121" s="1"/>
      <c r="C121" s="52"/>
      <c r="D121" s="133"/>
      <c r="E121" s="133"/>
      <c r="F121" s="133"/>
      <c r="G121" s="133"/>
      <c r="H121" s="133"/>
      <c r="I121" s="52"/>
      <c r="J121" s="52"/>
      <c r="K121" s="52"/>
      <c r="L121" s="52"/>
      <c r="M121" s="52"/>
      <c r="N121" s="52"/>
      <c r="O121" s="52"/>
    </row>
    <row r="122" spans="1:15" ht="13.5" customHeight="1">
      <c r="A122" s="1"/>
      <c r="B122" s="1"/>
      <c r="C122" s="52"/>
      <c r="D122" s="133" t="e">
        <v>#REF!</v>
      </c>
      <c r="E122" s="133" t="s">
        <v>277</v>
      </c>
      <c r="F122" s="133" t="s">
        <v>277</v>
      </c>
      <c r="G122" s="133"/>
      <c r="H122" s="133"/>
      <c r="I122" s="52"/>
      <c r="J122" s="52"/>
      <c r="K122" s="52"/>
      <c r="L122" s="52"/>
      <c r="M122" s="52"/>
      <c r="N122" s="52"/>
      <c r="O122" s="52"/>
    </row>
    <row r="123" spans="1:15" ht="13.5" customHeight="1">
      <c r="A123" s="1"/>
      <c r="B123" s="1"/>
      <c r="C123" s="52"/>
      <c r="D123" s="133" t="e">
        <v>#REF!</v>
      </c>
      <c r="E123" s="133" t="e">
        <v>#REF!</v>
      </c>
      <c r="F123" s="133" t="s">
        <v>277</v>
      </c>
      <c r="G123" s="133"/>
      <c r="H123" s="133"/>
      <c r="I123" s="52"/>
      <c r="J123" s="52"/>
      <c r="K123" s="52"/>
      <c r="L123" s="52"/>
      <c r="M123" s="52"/>
      <c r="N123" s="52"/>
      <c r="O123" s="52"/>
    </row>
    <row r="124" spans="1:15" ht="13.5" customHeight="1">
      <c r="A124" s="1"/>
      <c r="B124" s="1"/>
      <c r="C124" s="52"/>
      <c r="D124" s="133" t="e">
        <v>#REF!</v>
      </c>
      <c r="E124" s="133" t="e">
        <v>#REF!</v>
      </c>
      <c r="F124" s="133" t="e">
        <v>#REF!</v>
      </c>
      <c r="G124" s="133"/>
      <c r="H124" s="133"/>
      <c r="I124" s="52"/>
      <c r="J124" s="52"/>
      <c r="K124" s="52"/>
      <c r="L124" s="52"/>
      <c r="M124" s="52"/>
      <c r="N124" s="52"/>
      <c r="O124" s="52"/>
    </row>
    <row r="125" spans="1:15" ht="13.5" customHeight="1">
      <c r="A125" s="1"/>
      <c r="B125" s="1"/>
      <c r="C125" s="52"/>
      <c r="D125" s="133" t="e">
        <v>#REF!</v>
      </c>
      <c r="E125" s="133" t="e">
        <v>#REF!</v>
      </c>
      <c r="F125" s="133" t="e">
        <v>#REF!</v>
      </c>
      <c r="G125" s="133"/>
      <c r="H125" s="133"/>
      <c r="I125" s="52"/>
      <c r="J125" s="52"/>
      <c r="K125" s="52"/>
      <c r="L125" s="52"/>
      <c r="M125" s="52"/>
      <c r="N125" s="52"/>
      <c r="O125" s="52"/>
    </row>
    <row r="126" spans="1:15" ht="13.5" customHeight="1">
      <c r="A126" s="1"/>
      <c r="B126" s="1"/>
      <c r="C126" s="52"/>
      <c r="D126" s="133" t="e">
        <v>#REF!</v>
      </c>
      <c r="E126" s="133" t="e">
        <v>#REF!</v>
      </c>
      <c r="F126" s="133" t="e">
        <v>#REF!</v>
      </c>
      <c r="G126" s="133"/>
      <c r="H126" s="133"/>
      <c r="I126" s="52"/>
      <c r="J126" s="52"/>
      <c r="K126" s="52"/>
      <c r="L126" s="52"/>
      <c r="M126" s="52"/>
      <c r="N126" s="52"/>
      <c r="O126" s="52"/>
    </row>
    <row r="127" spans="1:15" ht="13.5" customHeight="1">
      <c r="A127" s="1"/>
      <c r="B127" s="1"/>
      <c r="C127" s="52"/>
      <c r="D127" s="133" t="e">
        <v>#REF!</v>
      </c>
      <c r="E127" s="133" t="e">
        <v>#REF!</v>
      </c>
      <c r="F127" s="133" t="e">
        <v>#REF!</v>
      </c>
      <c r="G127" s="133"/>
      <c r="H127" s="133"/>
      <c r="I127" s="52"/>
      <c r="J127" s="52"/>
      <c r="K127" s="52"/>
      <c r="L127" s="52"/>
      <c r="M127" s="52"/>
      <c r="N127" s="52"/>
      <c r="O127" s="52"/>
    </row>
    <row r="128" spans="1:15" ht="13.5" customHeight="1">
      <c r="A128" s="1"/>
      <c r="B128" s="1"/>
      <c r="C128" s="52"/>
      <c r="D128" s="133"/>
      <c r="E128" s="133"/>
      <c r="F128" s="133"/>
      <c r="G128" s="133"/>
      <c r="H128" s="133"/>
      <c r="I128" s="52"/>
      <c r="J128" s="52"/>
      <c r="K128" s="52"/>
      <c r="L128" s="52"/>
      <c r="M128" s="52"/>
      <c r="N128" s="52"/>
      <c r="O128" s="52"/>
    </row>
    <row r="129" spans="1:15" ht="13.5" customHeight="1">
      <c r="A129" s="1"/>
      <c r="B129" s="1"/>
      <c r="C129" s="52"/>
      <c r="D129" s="133"/>
      <c r="E129" s="133"/>
      <c r="F129" s="133"/>
      <c r="G129" s="133"/>
      <c r="H129" s="133"/>
      <c r="I129" s="52"/>
      <c r="J129" s="52"/>
      <c r="K129" s="52"/>
      <c r="L129" s="52"/>
      <c r="M129" s="52"/>
      <c r="N129" s="52"/>
      <c r="O129" s="52"/>
    </row>
    <row r="130" spans="1:15" ht="13.5" customHeight="1">
      <c r="A130" s="1"/>
      <c r="B130" s="1"/>
      <c r="C130" s="52"/>
      <c r="D130" s="133"/>
      <c r="E130" s="133"/>
      <c r="F130" s="133"/>
      <c r="G130" s="133"/>
      <c r="H130" s="133"/>
      <c r="I130" s="52"/>
      <c r="J130" s="52"/>
      <c r="K130" s="52"/>
      <c r="L130" s="52"/>
      <c r="M130" s="52"/>
      <c r="N130" s="52"/>
      <c r="O130" s="52"/>
    </row>
    <row r="131" spans="1:15" ht="13.5" customHeight="1">
      <c r="A131" s="1"/>
      <c r="B131" s="1"/>
      <c r="C131" s="52"/>
      <c r="D131" s="133"/>
      <c r="E131" s="133"/>
      <c r="F131" s="133"/>
      <c r="G131" s="133"/>
      <c r="H131" s="133"/>
      <c r="I131" s="52"/>
      <c r="J131" s="52"/>
      <c r="K131" s="52"/>
      <c r="L131" s="52"/>
      <c r="M131" s="52"/>
      <c r="N131" s="52"/>
      <c r="O131" s="52"/>
    </row>
    <row r="132" spans="1:15" ht="13.5" customHeight="1">
      <c r="A132" s="1"/>
      <c r="B132" s="1"/>
      <c r="C132" s="52"/>
      <c r="D132" s="133"/>
      <c r="E132" s="133"/>
      <c r="F132" s="133"/>
      <c r="G132" s="133"/>
      <c r="H132" s="133"/>
      <c r="I132" s="52"/>
      <c r="J132" s="52"/>
      <c r="K132" s="52"/>
      <c r="L132" s="52"/>
      <c r="M132" s="52"/>
      <c r="N132" s="52"/>
      <c r="O132" s="52"/>
    </row>
    <row r="133" spans="1:15" ht="13.5" customHeight="1">
      <c r="A133" s="1"/>
      <c r="B133" s="1"/>
      <c r="C133" s="52"/>
      <c r="D133" s="133"/>
      <c r="E133" s="133"/>
      <c r="F133" s="133"/>
      <c r="G133" s="133"/>
      <c r="H133" s="133"/>
      <c r="I133" s="52"/>
      <c r="J133" s="52"/>
      <c r="K133" s="52"/>
      <c r="L133" s="52"/>
      <c r="M133" s="52"/>
      <c r="N133" s="52"/>
      <c r="O133" s="52"/>
    </row>
    <row r="134" spans="1:15" ht="13.5" customHeight="1">
      <c r="A134" s="1"/>
      <c r="B134" s="1"/>
      <c r="C134" s="52"/>
      <c r="D134" s="133"/>
      <c r="E134" s="133"/>
      <c r="F134" s="133"/>
      <c r="G134" s="133"/>
      <c r="H134" s="133"/>
      <c r="I134" s="52"/>
      <c r="J134" s="52"/>
      <c r="K134" s="52"/>
      <c r="L134" s="52"/>
      <c r="M134" s="52"/>
      <c r="N134" s="52"/>
      <c r="O134" s="52"/>
    </row>
    <row r="135" spans="1:15" ht="13.5" customHeight="1">
      <c r="A135" s="1"/>
      <c r="B135" s="1"/>
      <c r="C135" s="52"/>
      <c r="D135" s="133"/>
      <c r="E135" s="133"/>
      <c r="F135" s="133"/>
      <c r="G135" s="133"/>
      <c r="H135" s="133"/>
      <c r="I135" s="52"/>
      <c r="J135" s="52"/>
      <c r="K135" s="52"/>
      <c r="L135" s="52"/>
      <c r="M135" s="52"/>
      <c r="N135" s="52"/>
      <c r="O135" s="52"/>
    </row>
    <row r="136" spans="1:15" ht="13.5" customHeight="1">
      <c r="A136" s="1"/>
      <c r="B136" s="1"/>
      <c r="C136" s="52"/>
      <c r="D136" s="133"/>
      <c r="E136" s="133"/>
      <c r="F136" s="133"/>
      <c r="G136" s="133"/>
      <c r="H136" s="133"/>
      <c r="I136" s="52"/>
      <c r="J136" s="52"/>
      <c r="K136" s="52"/>
      <c r="L136" s="52"/>
      <c r="M136" s="52"/>
      <c r="N136" s="52"/>
      <c r="O136" s="52"/>
    </row>
    <row r="137" spans="1:15" ht="13.5" customHeight="1">
      <c r="A137" s="1"/>
      <c r="B137" s="1"/>
      <c r="C137" s="52"/>
      <c r="D137" s="133"/>
      <c r="E137" s="133"/>
      <c r="F137" s="133"/>
      <c r="G137" s="133"/>
      <c r="H137" s="133"/>
      <c r="I137" s="52"/>
      <c r="J137" s="52"/>
      <c r="K137" s="52"/>
      <c r="L137" s="52"/>
      <c r="M137" s="52"/>
      <c r="N137" s="52"/>
      <c r="O137" s="52"/>
    </row>
    <row r="138" spans="1:15" ht="13.5" customHeight="1">
      <c r="A138" s="1"/>
      <c r="B138" s="1"/>
      <c r="C138" s="52"/>
      <c r="D138" s="133"/>
      <c r="E138" s="133"/>
      <c r="F138" s="133"/>
      <c r="G138" s="133"/>
      <c r="H138" s="133"/>
      <c r="I138" s="52"/>
      <c r="J138" s="52"/>
      <c r="K138" s="52"/>
      <c r="L138" s="52"/>
      <c r="M138" s="52"/>
      <c r="N138" s="52"/>
      <c r="O138" s="52"/>
    </row>
    <row r="139" spans="1:15" ht="13.5" customHeight="1">
      <c r="A139" s="1"/>
      <c r="B139" s="1"/>
      <c r="C139" s="52"/>
      <c r="D139" s="133"/>
      <c r="E139" s="133"/>
      <c r="F139" s="133"/>
      <c r="G139" s="133"/>
      <c r="H139" s="133"/>
      <c r="I139" s="52"/>
      <c r="J139" s="52"/>
      <c r="K139" s="52"/>
      <c r="L139" s="52"/>
      <c r="M139" s="52"/>
      <c r="N139" s="52"/>
      <c r="O139" s="52"/>
    </row>
    <row r="140" spans="1:15" ht="13.5" customHeight="1">
      <c r="A140" s="1"/>
      <c r="B140" s="1"/>
      <c r="C140" s="52"/>
      <c r="D140" s="133"/>
      <c r="E140" s="133"/>
      <c r="F140" s="133"/>
      <c r="G140" s="133"/>
      <c r="H140" s="133"/>
      <c r="I140" s="52"/>
      <c r="J140" s="52"/>
      <c r="K140" s="52"/>
      <c r="L140" s="52"/>
      <c r="M140" s="52"/>
      <c r="N140" s="52"/>
      <c r="O140" s="52"/>
    </row>
    <row r="141" spans="1:15" ht="13.5" customHeight="1">
      <c r="A141" s="1"/>
      <c r="B141" s="1"/>
      <c r="C141" s="52"/>
      <c r="D141" s="133"/>
      <c r="E141" s="133"/>
      <c r="F141" s="133"/>
      <c r="G141" s="133"/>
      <c r="H141" s="133"/>
      <c r="I141" s="52"/>
      <c r="J141" s="52"/>
      <c r="K141" s="52"/>
      <c r="L141" s="52"/>
      <c r="M141" s="52"/>
      <c r="N141" s="52"/>
      <c r="O141" s="52"/>
    </row>
    <row r="142" spans="1:15" ht="13.5" customHeight="1">
      <c r="A142" s="1"/>
      <c r="B142" s="1"/>
      <c r="C142" s="52"/>
      <c r="D142" s="133"/>
      <c r="E142" s="133"/>
      <c r="F142" s="133"/>
      <c r="G142" s="133"/>
      <c r="H142" s="133"/>
      <c r="I142" s="52"/>
      <c r="J142" s="52"/>
      <c r="K142" s="52"/>
      <c r="L142" s="52"/>
      <c r="M142" s="52"/>
      <c r="N142" s="52"/>
      <c r="O142" s="52"/>
    </row>
    <row r="143" spans="1:15" ht="13.5" customHeight="1">
      <c r="A143" s="1"/>
      <c r="B143" s="1"/>
      <c r="C143" s="52"/>
      <c r="D143" s="133"/>
      <c r="E143" s="133"/>
      <c r="F143" s="133"/>
      <c r="G143" s="133"/>
      <c r="H143" s="133"/>
      <c r="I143" s="52"/>
      <c r="J143" s="52"/>
      <c r="K143" s="52"/>
      <c r="L143" s="52"/>
      <c r="M143" s="52"/>
      <c r="N143" s="52"/>
      <c r="O143" s="52"/>
    </row>
    <row r="144" spans="1:15" ht="13.5" customHeight="1">
      <c r="A144" s="1"/>
      <c r="B144" s="1"/>
      <c r="C144" s="52"/>
      <c r="D144" s="133"/>
      <c r="E144" s="133"/>
      <c r="F144" s="133"/>
      <c r="G144" s="133"/>
      <c r="H144" s="133"/>
      <c r="I144" s="52"/>
      <c r="J144" s="52"/>
      <c r="K144" s="52"/>
      <c r="L144" s="52"/>
      <c r="M144" s="52"/>
      <c r="N144" s="52"/>
      <c r="O144" s="52"/>
    </row>
    <row r="145" spans="1:15" ht="13.5" customHeight="1">
      <c r="A145" s="1"/>
      <c r="B145" s="1"/>
      <c r="C145" s="52"/>
      <c r="D145" s="133"/>
      <c r="E145" s="133"/>
      <c r="F145" s="133"/>
      <c r="G145" s="133"/>
      <c r="H145" s="133"/>
      <c r="I145" s="52"/>
      <c r="J145" s="52"/>
      <c r="K145" s="52"/>
      <c r="L145" s="52"/>
      <c r="M145" s="52"/>
      <c r="N145" s="52"/>
      <c r="O145" s="52"/>
    </row>
    <row r="146" spans="1:15" ht="13.5" customHeight="1">
      <c r="A146" s="1"/>
      <c r="B146" s="1"/>
      <c r="C146" s="52"/>
      <c r="D146" s="133"/>
      <c r="E146" s="133"/>
      <c r="F146" s="133"/>
      <c r="G146" s="133"/>
      <c r="H146" s="133"/>
      <c r="I146" s="52"/>
      <c r="J146" s="52"/>
      <c r="K146" s="52"/>
      <c r="L146" s="52"/>
      <c r="M146" s="52"/>
      <c r="N146" s="52"/>
      <c r="O146" s="52"/>
    </row>
    <row r="147" spans="1:15" ht="13.5" customHeight="1">
      <c r="A147" s="1"/>
      <c r="B147" s="1"/>
      <c r="C147" s="52"/>
      <c r="D147" s="133"/>
      <c r="E147" s="133"/>
      <c r="F147" s="133"/>
      <c r="G147" s="133"/>
      <c r="H147" s="133"/>
      <c r="I147" s="52"/>
      <c r="J147" s="52"/>
      <c r="K147" s="52"/>
      <c r="L147" s="52"/>
      <c r="M147" s="52"/>
      <c r="N147" s="52"/>
      <c r="O147" s="52"/>
    </row>
    <row r="148" spans="1:15" ht="13.5" customHeight="1">
      <c r="A148" s="1"/>
      <c r="B148" s="1"/>
      <c r="C148" s="52"/>
      <c r="D148" s="133"/>
      <c r="E148" s="133"/>
      <c r="F148" s="133"/>
      <c r="G148" s="133"/>
      <c r="H148" s="133"/>
      <c r="I148" s="52"/>
      <c r="J148" s="52"/>
      <c r="K148" s="52"/>
      <c r="L148" s="52"/>
      <c r="M148" s="52"/>
      <c r="N148" s="52"/>
      <c r="O148" s="52"/>
    </row>
    <row r="149" spans="1:15" ht="13.5" customHeight="1">
      <c r="A149" s="1"/>
      <c r="B149" s="1"/>
      <c r="C149" s="52"/>
      <c r="D149" s="133"/>
      <c r="E149" s="133"/>
      <c r="F149" s="133"/>
      <c r="G149" s="133"/>
      <c r="H149" s="133"/>
      <c r="I149" s="52"/>
      <c r="J149" s="52"/>
      <c r="K149" s="52"/>
      <c r="L149" s="52"/>
      <c r="M149" s="52"/>
      <c r="N149" s="52"/>
      <c r="O149" s="52"/>
    </row>
    <row r="150" spans="1:15" ht="13.5" customHeight="1">
      <c r="A150" s="1"/>
      <c r="B150" s="1"/>
      <c r="C150" s="52"/>
      <c r="D150" s="133"/>
      <c r="E150" s="133"/>
      <c r="F150" s="133"/>
      <c r="G150" s="133"/>
      <c r="H150" s="133"/>
      <c r="I150" s="52"/>
      <c r="J150" s="52"/>
      <c r="K150" s="52"/>
      <c r="L150" s="52"/>
      <c r="M150" s="52"/>
      <c r="N150" s="52"/>
      <c r="O150" s="52"/>
    </row>
    <row r="151" spans="1:15" ht="13.5" customHeight="1">
      <c r="A151" s="1"/>
      <c r="B151" s="1"/>
      <c r="C151" s="52"/>
      <c r="D151" s="133"/>
      <c r="E151" s="133"/>
      <c r="F151" s="133"/>
      <c r="G151" s="133"/>
      <c r="H151" s="133"/>
      <c r="I151" s="52"/>
      <c r="J151" s="52"/>
      <c r="K151" s="52"/>
      <c r="L151" s="52"/>
      <c r="M151" s="52"/>
      <c r="N151" s="52"/>
      <c r="O151" s="52"/>
    </row>
    <row r="152" spans="1:15" ht="13.5" customHeight="1">
      <c r="A152" s="1"/>
      <c r="B152" s="1"/>
      <c r="C152" s="52"/>
      <c r="D152" s="133"/>
      <c r="E152" s="133"/>
      <c r="F152" s="133"/>
      <c r="G152" s="133"/>
      <c r="H152" s="133"/>
      <c r="I152" s="52"/>
      <c r="J152" s="52"/>
      <c r="K152" s="52"/>
      <c r="L152" s="52"/>
      <c r="M152" s="52"/>
      <c r="N152" s="52"/>
      <c r="O152" s="52"/>
    </row>
    <row r="153" spans="1:15" ht="13.5" customHeight="1">
      <c r="A153" s="1"/>
      <c r="B153" s="1"/>
      <c r="C153" s="52"/>
      <c r="D153" s="133"/>
      <c r="E153" s="133"/>
      <c r="F153" s="133"/>
      <c r="G153" s="133"/>
      <c r="H153" s="133"/>
      <c r="I153" s="52"/>
      <c r="J153" s="52"/>
      <c r="K153" s="52"/>
      <c r="L153" s="52"/>
      <c r="M153" s="52"/>
      <c r="N153" s="52"/>
      <c r="O153" s="52"/>
    </row>
    <row r="154" spans="1:15" ht="13.5" customHeight="1">
      <c r="A154" s="1"/>
      <c r="B154" s="1"/>
      <c r="C154" s="52"/>
      <c r="D154" s="133"/>
      <c r="E154" s="133"/>
      <c r="F154" s="133"/>
      <c r="G154" s="133"/>
      <c r="H154" s="133"/>
      <c r="I154" s="52"/>
      <c r="J154" s="52"/>
      <c r="K154" s="52"/>
      <c r="L154" s="52"/>
      <c r="M154" s="52"/>
      <c r="N154" s="52"/>
      <c r="O154" s="52"/>
    </row>
    <row r="155" spans="1:15" ht="13.5" customHeight="1">
      <c r="A155" s="1"/>
      <c r="B155" s="1"/>
      <c r="C155" s="52"/>
      <c r="D155" s="133"/>
      <c r="E155" s="133"/>
      <c r="F155" s="133"/>
      <c r="G155" s="133"/>
      <c r="H155" s="133"/>
      <c r="I155" s="52"/>
      <c r="J155" s="52"/>
      <c r="K155" s="52"/>
      <c r="L155" s="52"/>
      <c r="M155" s="52"/>
      <c r="N155" s="52"/>
      <c r="O155" s="52"/>
    </row>
    <row r="156" spans="1:15" ht="13.5" customHeight="1">
      <c r="A156" s="1"/>
      <c r="B156" s="1"/>
      <c r="C156" s="52"/>
      <c r="D156" s="133"/>
      <c r="E156" s="133"/>
      <c r="F156" s="133"/>
      <c r="G156" s="133"/>
      <c r="H156" s="133"/>
      <c r="I156" s="52"/>
      <c r="J156" s="52"/>
      <c r="K156" s="52"/>
      <c r="L156" s="52"/>
      <c r="M156" s="52"/>
      <c r="N156" s="52"/>
      <c r="O156" s="52"/>
    </row>
    <row r="157" spans="1:15" ht="13.5" customHeight="1">
      <c r="A157" s="1"/>
      <c r="B157" s="1"/>
      <c r="C157" s="52"/>
      <c r="D157" s="133"/>
      <c r="E157" s="133"/>
      <c r="F157" s="133"/>
      <c r="G157" s="133"/>
      <c r="H157" s="133"/>
      <c r="I157" s="52"/>
      <c r="J157" s="52"/>
      <c r="K157" s="52"/>
      <c r="L157" s="52"/>
      <c r="M157" s="52"/>
      <c r="N157" s="52"/>
      <c r="O157" s="52"/>
    </row>
    <row r="158" spans="1:15" ht="13.5" customHeight="1">
      <c r="A158" s="1"/>
      <c r="B158" s="1"/>
      <c r="C158" s="52"/>
      <c r="D158" s="133"/>
      <c r="E158" s="133"/>
      <c r="F158" s="133"/>
      <c r="G158" s="133"/>
      <c r="H158" s="133"/>
      <c r="I158" s="52"/>
      <c r="J158" s="52"/>
      <c r="K158" s="52"/>
      <c r="L158" s="52"/>
      <c r="M158" s="52"/>
      <c r="N158" s="52"/>
      <c r="O158" s="52"/>
    </row>
    <row r="159" spans="1:15" ht="13.5" customHeight="1">
      <c r="A159" s="1"/>
      <c r="B159" s="1"/>
      <c r="C159" s="52"/>
      <c r="D159" s="133"/>
      <c r="E159" s="133"/>
      <c r="F159" s="133"/>
      <c r="G159" s="133"/>
      <c r="H159" s="133"/>
      <c r="I159" s="52"/>
      <c r="J159" s="52"/>
      <c r="K159" s="52"/>
      <c r="L159" s="52"/>
      <c r="M159" s="52"/>
      <c r="N159" s="52"/>
      <c r="O159" s="52"/>
    </row>
    <row r="160" spans="1:15" ht="13.5" customHeight="1">
      <c r="A160" s="1"/>
      <c r="B160" s="1"/>
      <c r="C160" s="52"/>
      <c r="D160" s="133"/>
      <c r="E160" s="133"/>
      <c r="F160" s="133"/>
      <c r="G160" s="133"/>
      <c r="H160" s="133"/>
      <c r="I160" s="52"/>
      <c r="J160" s="52"/>
      <c r="K160" s="52"/>
      <c r="L160" s="52"/>
      <c r="M160" s="52"/>
      <c r="N160" s="52"/>
      <c r="O160" s="52"/>
    </row>
    <row r="161" spans="1:15" ht="13.5" customHeight="1">
      <c r="A161" s="1"/>
      <c r="B161" s="1"/>
      <c r="C161" s="52"/>
      <c r="D161" s="133"/>
      <c r="E161" s="133"/>
      <c r="F161" s="133"/>
      <c r="G161" s="133"/>
      <c r="H161" s="133"/>
      <c r="I161" s="52"/>
      <c r="J161" s="52"/>
      <c r="K161" s="52"/>
      <c r="L161" s="52"/>
      <c r="M161" s="52"/>
      <c r="N161" s="52"/>
      <c r="O161" s="52"/>
    </row>
    <row r="162" spans="1:15" ht="13.5" customHeight="1">
      <c r="A162" s="1"/>
      <c r="B162" s="1"/>
      <c r="C162" s="52"/>
      <c r="D162" s="133"/>
      <c r="E162" s="133"/>
      <c r="F162" s="133"/>
      <c r="G162" s="133"/>
      <c r="H162" s="133"/>
      <c r="I162" s="52"/>
      <c r="J162" s="52"/>
      <c r="K162" s="52"/>
      <c r="L162" s="52"/>
      <c r="M162" s="52"/>
      <c r="N162" s="52"/>
      <c r="O162" s="52"/>
    </row>
    <row r="163" spans="1:15" ht="13.5" customHeight="1">
      <c r="A163" s="1"/>
      <c r="B163" s="1"/>
      <c r="C163" s="52"/>
      <c r="D163" s="133"/>
      <c r="E163" s="133"/>
      <c r="F163" s="133"/>
      <c r="G163" s="133"/>
      <c r="H163" s="133"/>
      <c r="I163" s="52"/>
      <c r="J163" s="52"/>
      <c r="K163" s="52"/>
      <c r="L163" s="52"/>
      <c r="M163" s="52"/>
      <c r="N163" s="52"/>
      <c r="O163" s="52"/>
    </row>
    <row r="164" spans="1:15" ht="13.5" customHeight="1">
      <c r="A164" s="1"/>
      <c r="B164" s="1"/>
      <c r="C164" s="52"/>
      <c r="D164" s="133"/>
      <c r="E164" s="133"/>
      <c r="F164" s="133"/>
      <c r="G164" s="133"/>
      <c r="H164" s="133"/>
      <c r="I164" s="52"/>
      <c r="J164" s="52"/>
      <c r="K164" s="52"/>
      <c r="L164" s="52"/>
      <c r="M164" s="52"/>
      <c r="N164" s="52"/>
      <c r="O164" s="52"/>
    </row>
    <row r="165" spans="1:15" ht="13.5" customHeight="1">
      <c r="A165" s="1"/>
      <c r="B165" s="1"/>
      <c r="C165" s="52"/>
      <c r="D165" s="133"/>
      <c r="E165" s="133"/>
      <c r="F165" s="133"/>
      <c r="G165" s="133"/>
      <c r="H165" s="133"/>
      <c r="I165" s="52"/>
      <c r="J165" s="52"/>
      <c r="K165" s="52"/>
      <c r="L165" s="52"/>
      <c r="M165" s="52"/>
      <c r="N165" s="52"/>
      <c r="O165" s="52"/>
    </row>
    <row r="166" spans="1:15" ht="13.5" customHeight="1">
      <c r="A166" s="1"/>
      <c r="B166" s="1"/>
      <c r="C166" s="52"/>
      <c r="D166" s="133"/>
      <c r="E166" s="133"/>
      <c r="F166" s="133"/>
      <c r="G166" s="133"/>
      <c r="H166" s="133"/>
      <c r="I166" s="52"/>
      <c r="J166" s="52"/>
      <c r="K166" s="52"/>
      <c r="L166" s="52"/>
      <c r="M166" s="52"/>
      <c r="N166" s="52"/>
      <c r="O166" s="52"/>
    </row>
    <row r="167" spans="1:15" ht="13.5" customHeight="1">
      <c r="A167" s="1"/>
      <c r="B167" s="1"/>
      <c r="C167" s="52"/>
      <c r="D167" s="133"/>
      <c r="E167" s="133"/>
      <c r="F167" s="133"/>
      <c r="G167" s="133"/>
      <c r="H167" s="133"/>
      <c r="I167" s="52"/>
      <c r="J167" s="52"/>
      <c r="K167" s="52"/>
      <c r="L167" s="52"/>
      <c r="M167" s="52"/>
      <c r="N167" s="52"/>
      <c r="O167" s="52"/>
    </row>
    <row r="168" spans="1:15" ht="13.5" customHeight="1">
      <c r="A168" s="1"/>
      <c r="B168" s="1"/>
      <c r="C168" s="52"/>
      <c r="D168" s="133"/>
      <c r="E168" s="133"/>
      <c r="F168" s="133"/>
      <c r="G168" s="133"/>
      <c r="H168" s="133"/>
      <c r="I168" s="52"/>
      <c r="J168" s="52"/>
      <c r="K168" s="52"/>
      <c r="L168" s="52"/>
      <c r="M168" s="52"/>
      <c r="N168" s="52"/>
      <c r="O168" s="52"/>
    </row>
    <row r="169" spans="1:15" ht="13.5" customHeight="1">
      <c r="A169" s="1"/>
      <c r="B169" s="1"/>
      <c r="C169" s="52"/>
      <c r="D169" s="133"/>
      <c r="E169" s="133"/>
      <c r="F169" s="133"/>
      <c r="G169" s="133"/>
      <c r="H169" s="133"/>
      <c r="I169" s="52"/>
      <c r="J169" s="52"/>
      <c r="K169" s="52"/>
      <c r="L169" s="52"/>
      <c r="M169" s="52"/>
      <c r="N169" s="52"/>
      <c r="O169" s="52"/>
    </row>
    <row r="170" spans="1:15" ht="13.5" customHeight="1">
      <c r="A170" s="1"/>
      <c r="B170" s="1"/>
      <c r="C170" s="52"/>
      <c r="D170" s="133"/>
      <c r="E170" s="133"/>
      <c r="F170" s="133"/>
      <c r="G170" s="133"/>
      <c r="H170" s="133"/>
      <c r="I170" s="52"/>
      <c r="J170" s="52"/>
      <c r="K170" s="52"/>
      <c r="L170" s="52"/>
      <c r="M170" s="52"/>
      <c r="N170" s="52"/>
      <c r="O170" s="52"/>
    </row>
    <row r="171" spans="1:15" ht="13.5" customHeight="1">
      <c r="A171" s="1"/>
      <c r="B171" s="1"/>
      <c r="C171" s="52"/>
      <c r="D171" s="133"/>
      <c r="E171" s="133"/>
      <c r="F171" s="133"/>
      <c r="G171" s="133"/>
      <c r="H171" s="133"/>
      <c r="I171" s="52"/>
      <c r="J171" s="52"/>
      <c r="K171" s="52"/>
      <c r="L171" s="52"/>
      <c r="M171" s="52"/>
      <c r="N171" s="52"/>
      <c r="O171" s="52"/>
    </row>
    <row r="172" spans="1:15" ht="13.5" customHeight="1">
      <c r="A172" s="1"/>
      <c r="B172" s="1"/>
      <c r="C172" s="52"/>
      <c r="D172" s="133"/>
      <c r="E172" s="133"/>
      <c r="F172" s="133"/>
      <c r="G172" s="133"/>
      <c r="H172" s="133"/>
      <c r="I172" s="52"/>
      <c r="J172" s="52"/>
      <c r="K172" s="52"/>
      <c r="L172" s="52"/>
      <c r="M172" s="52"/>
      <c r="N172" s="52"/>
      <c r="O172" s="52"/>
    </row>
    <row r="173" spans="1:15" ht="13.5" customHeight="1">
      <c r="A173" s="1"/>
      <c r="B173" s="1"/>
      <c r="C173" s="52"/>
      <c r="D173" s="133"/>
      <c r="E173" s="133"/>
      <c r="F173" s="133"/>
      <c r="G173" s="133"/>
      <c r="H173" s="133"/>
      <c r="I173" s="52"/>
      <c r="J173" s="52"/>
      <c r="K173" s="52"/>
      <c r="L173" s="52"/>
      <c r="M173" s="52"/>
      <c r="N173" s="52"/>
      <c r="O173" s="52"/>
    </row>
    <row r="174" spans="1:15" ht="13.5" customHeight="1">
      <c r="A174" s="1"/>
      <c r="B174" s="1"/>
      <c r="C174" s="52"/>
      <c r="D174" s="133"/>
      <c r="E174" s="133"/>
      <c r="F174" s="133"/>
      <c r="G174" s="133"/>
      <c r="H174" s="133"/>
      <c r="I174" s="52"/>
      <c r="J174" s="52"/>
      <c r="K174" s="52"/>
      <c r="L174" s="52"/>
      <c r="M174" s="52"/>
      <c r="N174" s="52"/>
      <c r="O174" s="52"/>
    </row>
    <row r="175" spans="1:15" ht="13.5" customHeight="1">
      <c r="A175" s="1"/>
      <c r="B175" s="1"/>
      <c r="C175" s="52"/>
      <c r="D175" s="133"/>
      <c r="E175" s="133"/>
      <c r="F175" s="133"/>
      <c r="G175" s="133"/>
      <c r="H175" s="133"/>
      <c r="I175" s="52"/>
      <c r="J175" s="52"/>
      <c r="K175" s="52"/>
      <c r="L175" s="52"/>
      <c r="M175" s="52"/>
      <c r="N175" s="52"/>
      <c r="O175" s="52"/>
    </row>
    <row r="176" spans="1:15" ht="13.5" customHeight="1">
      <c r="A176" s="1"/>
      <c r="B176" s="1"/>
      <c r="C176" s="52"/>
      <c r="D176" s="133"/>
      <c r="E176" s="133"/>
      <c r="F176" s="133"/>
      <c r="G176" s="133"/>
      <c r="H176" s="133"/>
      <c r="I176" s="52"/>
      <c r="J176" s="52"/>
      <c r="K176" s="52"/>
      <c r="L176" s="52"/>
      <c r="M176" s="52"/>
      <c r="N176" s="52"/>
      <c r="O176" s="52"/>
    </row>
    <row r="177" spans="1:15" ht="13.5" customHeight="1">
      <c r="A177" s="1"/>
      <c r="B177" s="1"/>
      <c r="C177" s="52"/>
      <c r="D177" s="133"/>
      <c r="E177" s="133"/>
      <c r="F177" s="133"/>
      <c r="G177" s="133"/>
      <c r="H177" s="133"/>
      <c r="I177" s="52"/>
      <c r="J177" s="52"/>
      <c r="K177" s="52"/>
      <c r="L177" s="52"/>
      <c r="M177" s="52"/>
      <c r="N177" s="52"/>
      <c r="O177" s="52"/>
    </row>
    <row r="178" spans="1:15" ht="13.5" customHeight="1">
      <c r="A178" s="1"/>
      <c r="B178" s="1"/>
      <c r="C178" s="52"/>
      <c r="D178" s="133"/>
      <c r="E178" s="133"/>
      <c r="F178" s="133"/>
      <c r="G178" s="133"/>
      <c r="H178" s="133"/>
      <c r="I178" s="52"/>
      <c r="J178" s="52"/>
      <c r="K178" s="52"/>
      <c r="L178" s="52"/>
      <c r="M178" s="52"/>
      <c r="N178" s="52"/>
      <c r="O178" s="52"/>
    </row>
    <row r="179" spans="1:15" ht="13.5" customHeight="1">
      <c r="A179" s="1"/>
      <c r="B179" s="1"/>
      <c r="C179" s="52"/>
      <c r="D179" s="133"/>
      <c r="E179" s="133"/>
      <c r="F179" s="133"/>
      <c r="G179" s="133"/>
      <c r="H179" s="133"/>
      <c r="I179" s="52"/>
      <c r="J179" s="52"/>
      <c r="K179" s="52"/>
      <c r="L179" s="52"/>
      <c r="M179" s="52"/>
      <c r="N179" s="52"/>
      <c r="O179" s="52"/>
    </row>
    <row r="180" spans="1:15" ht="13.5" customHeight="1">
      <c r="A180" s="1"/>
      <c r="B180" s="1"/>
      <c r="C180" s="52"/>
      <c r="D180" s="133"/>
      <c r="E180" s="133"/>
      <c r="F180" s="133"/>
      <c r="G180" s="133"/>
      <c r="H180" s="133"/>
      <c r="I180" s="52"/>
      <c r="J180" s="52"/>
      <c r="K180" s="52"/>
      <c r="L180" s="52"/>
      <c r="M180" s="52"/>
      <c r="N180" s="52"/>
      <c r="O180" s="52"/>
    </row>
    <row r="181" spans="1:15" ht="13.5" customHeight="1">
      <c r="A181" s="1"/>
      <c r="B181" s="1"/>
      <c r="C181" s="52"/>
      <c r="D181" s="133"/>
      <c r="E181" s="133"/>
      <c r="F181" s="133"/>
      <c r="G181" s="133"/>
      <c r="H181" s="133"/>
      <c r="I181" s="52"/>
      <c r="J181" s="52"/>
      <c r="K181" s="52"/>
      <c r="L181" s="52"/>
      <c r="M181" s="52"/>
      <c r="N181" s="52"/>
      <c r="O181" s="52"/>
    </row>
    <row r="182" spans="1:15" ht="13.5" customHeight="1">
      <c r="A182" s="1"/>
      <c r="B182" s="1"/>
      <c r="C182" s="52"/>
      <c r="D182" s="133"/>
      <c r="E182" s="133"/>
      <c r="F182" s="133"/>
      <c r="G182" s="133"/>
      <c r="H182" s="133"/>
      <c r="I182" s="52"/>
      <c r="J182" s="52"/>
      <c r="K182" s="52"/>
      <c r="L182" s="52"/>
      <c r="M182" s="52"/>
      <c r="N182" s="52"/>
      <c r="O182" s="52"/>
    </row>
    <row r="183" spans="1:15" ht="13.5" customHeight="1">
      <c r="A183" s="1"/>
      <c r="B183" s="1"/>
      <c r="C183" s="52"/>
      <c r="D183" s="133"/>
      <c r="E183" s="133"/>
      <c r="F183" s="133"/>
      <c r="G183" s="133"/>
      <c r="H183" s="133"/>
      <c r="I183" s="52"/>
      <c r="J183" s="52"/>
      <c r="K183" s="52"/>
      <c r="L183" s="52"/>
      <c r="M183" s="52"/>
      <c r="N183" s="52"/>
      <c r="O183" s="52"/>
    </row>
    <row r="184" spans="1:15" ht="13.5" customHeight="1">
      <c r="A184" s="1"/>
      <c r="B184" s="1"/>
      <c r="C184" s="52"/>
      <c r="D184" s="133"/>
      <c r="E184" s="133"/>
      <c r="F184" s="133"/>
      <c r="G184" s="133"/>
      <c r="H184" s="133"/>
      <c r="I184" s="52"/>
      <c r="J184" s="52"/>
      <c r="K184" s="52"/>
      <c r="L184" s="52"/>
      <c r="M184" s="52"/>
      <c r="N184" s="52"/>
      <c r="O184" s="52"/>
    </row>
    <row r="185" spans="1:15" ht="13.5" customHeight="1">
      <c r="A185" s="1"/>
      <c r="B185" s="1"/>
      <c r="C185" s="52"/>
      <c r="D185" s="133"/>
      <c r="E185" s="133"/>
      <c r="F185" s="133"/>
      <c r="G185" s="133"/>
      <c r="H185" s="133"/>
      <c r="I185" s="52"/>
      <c r="J185" s="52"/>
      <c r="K185" s="52"/>
      <c r="L185" s="52"/>
      <c r="M185" s="52"/>
      <c r="N185" s="52"/>
      <c r="O185" s="52"/>
    </row>
    <row r="186" spans="1:15" ht="13.5" customHeight="1">
      <c r="A186" s="1"/>
      <c r="B186" s="1"/>
      <c r="C186" s="52"/>
      <c r="D186" s="133"/>
      <c r="E186" s="133"/>
      <c r="F186" s="133"/>
      <c r="G186" s="133"/>
      <c r="H186" s="133"/>
      <c r="I186" s="52"/>
      <c r="J186" s="52"/>
      <c r="K186" s="52"/>
      <c r="L186" s="52"/>
      <c r="M186" s="52"/>
      <c r="N186" s="52"/>
      <c r="O186" s="52"/>
    </row>
    <row r="187" spans="1:15" ht="13.5" customHeight="1">
      <c r="A187" s="1"/>
      <c r="B187" s="1"/>
      <c r="C187" s="52"/>
      <c r="D187" s="133"/>
      <c r="E187" s="133"/>
      <c r="F187" s="133"/>
      <c r="G187" s="133"/>
      <c r="H187" s="133"/>
      <c r="I187" s="52"/>
      <c r="J187" s="52"/>
      <c r="K187" s="52"/>
      <c r="L187" s="52"/>
      <c r="M187" s="52"/>
      <c r="N187" s="52"/>
      <c r="O187" s="52"/>
    </row>
    <row r="188" spans="1:15" ht="13.5" customHeight="1">
      <c r="A188" s="1"/>
      <c r="B188" s="1"/>
      <c r="C188" s="52"/>
      <c r="D188" s="133"/>
      <c r="E188" s="133"/>
      <c r="F188" s="133"/>
      <c r="G188" s="133"/>
      <c r="H188" s="133"/>
      <c r="I188" s="52"/>
      <c r="J188" s="52"/>
      <c r="K188" s="52"/>
      <c r="L188" s="52"/>
      <c r="M188" s="52"/>
      <c r="N188" s="52"/>
      <c r="O188" s="52"/>
    </row>
    <row r="189" spans="1:15" ht="13.5" customHeight="1">
      <c r="A189" s="1"/>
      <c r="B189" s="1"/>
      <c r="C189" s="52"/>
      <c r="D189" s="133"/>
      <c r="E189" s="133"/>
      <c r="F189" s="133"/>
      <c r="G189" s="133"/>
      <c r="H189" s="133"/>
      <c r="I189" s="52"/>
      <c r="J189" s="52"/>
      <c r="K189" s="52"/>
      <c r="L189" s="52"/>
      <c r="M189" s="52"/>
      <c r="N189" s="52"/>
      <c r="O189" s="52"/>
    </row>
    <row r="190" spans="1:15" ht="13.5" customHeight="1">
      <c r="A190" s="1"/>
      <c r="B190" s="1"/>
      <c r="C190" s="52"/>
      <c r="D190" s="133"/>
      <c r="E190" s="133"/>
      <c r="F190" s="133"/>
      <c r="G190" s="133"/>
      <c r="H190" s="133"/>
      <c r="I190" s="52"/>
      <c r="J190" s="52"/>
      <c r="K190" s="52"/>
      <c r="L190" s="52"/>
      <c r="M190" s="52"/>
      <c r="N190" s="52"/>
      <c r="O190" s="52"/>
    </row>
    <row r="191" spans="1:15" ht="13.5" customHeight="1">
      <c r="A191" s="1"/>
      <c r="B191" s="1"/>
      <c r="C191" s="52"/>
      <c r="D191" s="133"/>
      <c r="E191" s="133"/>
      <c r="F191" s="133"/>
      <c r="G191" s="133"/>
      <c r="H191" s="133"/>
      <c r="I191" s="52"/>
      <c r="J191" s="52"/>
      <c r="K191" s="52"/>
      <c r="L191" s="52"/>
      <c r="M191" s="52"/>
      <c r="N191" s="52"/>
      <c r="O191" s="52"/>
    </row>
    <row r="192" spans="1:15" ht="13.5" customHeight="1">
      <c r="A192" s="1"/>
      <c r="B192" s="1"/>
      <c r="C192" s="52"/>
      <c r="D192" s="133"/>
      <c r="E192" s="133"/>
      <c r="F192" s="133"/>
      <c r="G192" s="133"/>
      <c r="H192" s="133"/>
      <c r="I192" s="52"/>
      <c r="J192" s="52"/>
      <c r="K192" s="52"/>
      <c r="L192" s="52"/>
      <c r="M192" s="52"/>
      <c r="N192" s="52"/>
      <c r="O192" s="52"/>
    </row>
    <row r="193" spans="1:15" ht="13.5" customHeight="1">
      <c r="A193" s="1"/>
      <c r="B193" s="1"/>
      <c r="C193" s="52"/>
      <c r="D193" s="133"/>
      <c r="E193" s="133"/>
      <c r="F193" s="133"/>
      <c r="G193" s="133"/>
      <c r="H193" s="133"/>
      <c r="I193" s="52"/>
      <c r="J193" s="52"/>
      <c r="K193" s="52"/>
      <c r="L193" s="52"/>
      <c r="M193" s="52"/>
      <c r="N193" s="52"/>
      <c r="O193" s="52"/>
    </row>
    <row r="194" spans="1:15" ht="13.5" customHeight="1">
      <c r="A194" s="1"/>
      <c r="B194" s="1"/>
      <c r="C194" s="52"/>
      <c r="D194" s="133"/>
      <c r="E194" s="133"/>
      <c r="F194" s="133"/>
      <c r="G194" s="133"/>
      <c r="H194" s="133"/>
      <c r="I194" s="52"/>
      <c r="J194" s="52"/>
      <c r="K194" s="52"/>
      <c r="L194" s="52"/>
      <c r="M194" s="52"/>
      <c r="N194" s="52"/>
      <c r="O194" s="52"/>
    </row>
    <row r="195" spans="1:15" ht="13.5" customHeight="1">
      <c r="A195" s="1"/>
      <c r="B195" s="1"/>
      <c r="C195" s="52"/>
      <c r="D195" s="133"/>
      <c r="E195" s="133"/>
      <c r="F195" s="133"/>
      <c r="G195" s="133"/>
      <c r="H195" s="133"/>
      <c r="I195" s="52"/>
      <c r="J195" s="52"/>
      <c r="K195" s="52"/>
      <c r="L195" s="52"/>
      <c r="M195" s="52"/>
      <c r="N195" s="52"/>
      <c r="O195" s="52"/>
    </row>
    <row r="196" spans="1:15" ht="13.5" customHeight="1">
      <c r="A196" s="1"/>
      <c r="B196" s="1"/>
      <c r="C196" s="52"/>
      <c r="D196" s="133"/>
      <c r="E196" s="133"/>
      <c r="F196" s="133"/>
      <c r="G196" s="133"/>
      <c r="H196" s="133"/>
      <c r="I196" s="52"/>
      <c r="J196" s="52"/>
      <c r="K196" s="52"/>
      <c r="L196" s="52"/>
      <c r="M196" s="52"/>
      <c r="N196" s="52"/>
      <c r="O196" s="52"/>
    </row>
    <row r="197" spans="1:15" ht="13.5" customHeight="1">
      <c r="A197" s="1"/>
      <c r="B197" s="1"/>
      <c r="C197" s="52"/>
      <c r="D197" s="133"/>
      <c r="E197" s="133"/>
      <c r="F197" s="133"/>
      <c r="G197" s="133"/>
      <c r="H197" s="133"/>
      <c r="I197" s="52"/>
      <c r="J197" s="52"/>
      <c r="K197" s="52"/>
      <c r="L197" s="52"/>
      <c r="M197" s="52"/>
      <c r="N197" s="52"/>
      <c r="O197" s="52"/>
    </row>
    <row r="198" spans="1:15" ht="13.5" customHeight="1">
      <c r="A198" s="1"/>
      <c r="B198" s="1"/>
      <c r="C198" s="52"/>
      <c r="D198" s="133"/>
      <c r="E198" s="133"/>
      <c r="F198" s="133"/>
      <c r="G198" s="133"/>
      <c r="H198" s="133"/>
      <c r="I198" s="52"/>
      <c r="J198" s="52"/>
      <c r="K198" s="52"/>
      <c r="L198" s="52"/>
      <c r="M198" s="52"/>
      <c r="N198" s="52"/>
      <c r="O198" s="52"/>
    </row>
    <row r="199" spans="1:15" ht="13.5" customHeight="1">
      <c r="A199" s="1"/>
      <c r="B199" s="1"/>
      <c r="C199" s="52"/>
      <c r="D199" s="133"/>
      <c r="E199" s="133"/>
      <c r="F199" s="133"/>
      <c r="G199" s="133"/>
      <c r="H199" s="133"/>
      <c r="I199" s="52"/>
      <c r="J199" s="52"/>
      <c r="K199" s="52"/>
      <c r="L199" s="52"/>
      <c r="M199" s="52"/>
      <c r="N199" s="52"/>
      <c r="O199" s="52"/>
    </row>
    <row r="200" spans="1:15" ht="13.5" customHeight="1">
      <c r="A200" s="1"/>
      <c r="B200" s="1"/>
      <c r="C200" s="52"/>
      <c r="D200" s="133"/>
      <c r="E200" s="133"/>
      <c r="F200" s="133"/>
      <c r="G200" s="133"/>
      <c r="H200" s="133"/>
      <c r="I200" s="52"/>
      <c r="J200" s="52"/>
      <c r="K200" s="52"/>
      <c r="L200" s="52"/>
      <c r="M200" s="52"/>
      <c r="N200" s="52"/>
      <c r="O200" s="52"/>
    </row>
    <row r="201" spans="1:15" ht="13.5" customHeight="1">
      <c r="A201" s="1"/>
      <c r="B201" s="1"/>
      <c r="C201" s="52"/>
      <c r="D201" s="133"/>
      <c r="E201" s="133"/>
      <c r="F201" s="133"/>
      <c r="G201" s="133"/>
      <c r="H201" s="133"/>
      <c r="I201" s="52"/>
      <c r="J201" s="52"/>
      <c r="K201" s="52"/>
      <c r="L201" s="52"/>
      <c r="M201" s="52"/>
      <c r="N201" s="52"/>
      <c r="O201" s="52"/>
    </row>
    <row r="202" spans="1:15" ht="13.5" customHeight="1">
      <c r="A202" s="1"/>
      <c r="B202" s="1"/>
      <c r="C202" s="52"/>
      <c r="D202" s="133"/>
      <c r="E202" s="133"/>
      <c r="F202" s="133"/>
      <c r="G202" s="133"/>
      <c r="H202" s="133"/>
      <c r="I202" s="52"/>
      <c r="J202" s="52"/>
      <c r="K202" s="52"/>
      <c r="L202" s="52"/>
      <c r="M202" s="52"/>
      <c r="N202" s="52"/>
      <c r="O202" s="52"/>
    </row>
    <row r="203" spans="1:15" ht="13.5" customHeight="1">
      <c r="A203" s="1"/>
      <c r="B203" s="1"/>
      <c r="C203" s="52"/>
      <c r="D203" s="133"/>
      <c r="E203" s="133"/>
      <c r="F203" s="133"/>
      <c r="G203" s="133"/>
      <c r="H203" s="133"/>
      <c r="I203" s="52"/>
      <c r="J203" s="52"/>
      <c r="K203" s="52"/>
      <c r="L203" s="52"/>
      <c r="M203" s="52"/>
      <c r="N203" s="52"/>
      <c r="O203" s="52"/>
    </row>
    <row r="204" spans="1:15" ht="13.5" customHeight="1">
      <c r="A204" s="1"/>
      <c r="B204" s="1"/>
      <c r="C204" s="52"/>
      <c r="D204" s="133"/>
      <c r="E204" s="133"/>
      <c r="F204" s="133"/>
      <c r="G204" s="133"/>
      <c r="H204" s="133"/>
      <c r="I204" s="52"/>
      <c r="J204" s="52"/>
      <c r="K204" s="52"/>
      <c r="L204" s="52"/>
      <c r="M204" s="52"/>
      <c r="N204" s="52"/>
      <c r="O204" s="52"/>
    </row>
    <row r="205" spans="1:15" ht="13.5" customHeight="1">
      <c r="A205" s="1"/>
      <c r="B205" s="1"/>
      <c r="C205" s="52"/>
      <c r="D205" s="133"/>
      <c r="E205" s="133"/>
      <c r="F205" s="133"/>
      <c r="G205" s="133"/>
      <c r="H205" s="133"/>
      <c r="I205" s="52"/>
      <c r="J205" s="52"/>
      <c r="K205" s="52"/>
      <c r="L205" s="52"/>
      <c r="M205" s="52"/>
      <c r="N205" s="52"/>
      <c r="O205" s="52"/>
    </row>
    <row r="206" spans="1:15" ht="13.5" customHeight="1">
      <c r="A206" s="1"/>
      <c r="B206" s="1"/>
      <c r="C206" s="52"/>
      <c r="D206" s="133"/>
      <c r="E206" s="133"/>
      <c r="F206" s="133"/>
      <c r="G206" s="133"/>
      <c r="H206" s="133"/>
      <c r="I206" s="52"/>
      <c r="J206" s="52"/>
      <c r="K206" s="52"/>
      <c r="L206" s="52"/>
      <c r="M206" s="52"/>
      <c r="N206" s="52"/>
      <c r="O206" s="52"/>
    </row>
    <row r="207" spans="1:15" ht="13.5" customHeight="1">
      <c r="A207" s="1"/>
      <c r="B207" s="1"/>
      <c r="C207" s="52"/>
      <c r="D207" s="133"/>
      <c r="E207" s="133"/>
      <c r="F207" s="133"/>
      <c r="G207" s="133"/>
      <c r="H207" s="133"/>
      <c r="I207" s="52"/>
      <c r="J207" s="52"/>
      <c r="K207" s="52"/>
      <c r="L207" s="52"/>
      <c r="M207" s="52"/>
      <c r="N207" s="52"/>
      <c r="O207" s="52"/>
    </row>
    <row r="208" spans="1:15" ht="13.5" customHeight="1">
      <c r="A208" s="1"/>
      <c r="B208" s="1"/>
      <c r="C208" s="52"/>
      <c r="D208" s="133"/>
      <c r="E208" s="133"/>
      <c r="F208" s="133"/>
      <c r="G208" s="133"/>
      <c r="H208" s="133"/>
      <c r="I208" s="52"/>
      <c r="J208" s="52"/>
      <c r="K208" s="52"/>
      <c r="L208" s="52"/>
      <c r="M208" s="52"/>
      <c r="N208" s="52"/>
      <c r="O208" s="52"/>
    </row>
    <row r="209" spans="1:15" ht="13.5" customHeight="1">
      <c r="A209" s="1"/>
      <c r="B209" s="1"/>
      <c r="C209" s="52"/>
      <c r="D209" s="133"/>
      <c r="E209" s="133"/>
      <c r="F209" s="133"/>
      <c r="G209" s="133"/>
      <c r="H209" s="133"/>
      <c r="I209" s="52"/>
      <c r="J209" s="52"/>
      <c r="K209" s="52"/>
      <c r="L209" s="52"/>
      <c r="M209" s="52"/>
      <c r="N209" s="52"/>
      <c r="O209" s="52"/>
    </row>
    <row r="210" spans="1:15" ht="13.5" customHeight="1">
      <c r="A210" s="1"/>
      <c r="B210" s="1"/>
      <c r="C210" s="52"/>
      <c r="D210" s="133"/>
      <c r="E210" s="133"/>
      <c r="F210" s="133"/>
      <c r="G210" s="133"/>
      <c r="H210" s="133"/>
      <c r="I210" s="52"/>
      <c r="J210" s="52"/>
      <c r="K210" s="52"/>
      <c r="L210" s="52"/>
      <c r="M210" s="52"/>
      <c r="N210" s="52"/>
      <c r="O210" s="52"/>
    </row>
    <row r="211" spans="1:15" ht="13.5" customHeight="1">
      <c r="A211" s="1"/>
      <c r="B211" s="1"/>
      <c r="C211" s="52"/>
      <c r="D211" s="133"/>
      <c r="E211" s="133"/>
      <c r="F211" s="133"/>
      <c r="G211" s="133"/>
      <c r="H211" s="133"/>
      <c r="I211" s="52"/>
      <c r="J211" s="52"/>
      <c r="K211" s="52"/>
      <c r="L211" s="52"/>
      <c r="M211" s="52"/>
      <c r="N211" s="52"/>
      <c r="O211" s="52"/>
    </row>
    <row r="212" spans="1:15" ht="13.5" customHeight="1">
      <c r="A212" s="1"/>
      <c r="B212" s="1"/>
      <c r="C212" s="52"/>
      <c r="D212" s="133"/>
      <c r="E212" s="133"/>
      <c r="F212" s="133"/>
      <c r="G212" s="133"/>
      <c r="H212" s="133"/>
      <c r="I212" s="52"/>
      <c r="J212" s="52"/>
      <c r="K212" s="52"/>
      <c r="L212" s="52"/>
      <c r="M212" s="52"/>
      <c r="N212" s="52"/>
      <c r="O212" s="52"/>
    </row>
    <row r="213" spans="1:15" ht="13.5" customHeight="1">
      <c r="A213" s="1"/>
      <c r="B213" s="1"/>
      <c r="C213" s="52"/>
      <c r="D213" s="133"/>
      <c r="E213" s="133"/>
      <c r="F213" s="133"/>
      <c r="G213" s="133"/>
      <c r="H213" s="133"/>
      <c r="I213" s="52"/>
      <c r="J213" s="52"/>
      <c r="K213" s="52"/>
      <c r="L213" s="52"/>
      <c r="M213" s="52"/>
      <c r="N213" s="52"/>
      <c r="O213" s="52"/>
    </row>
    <row r="214" spans="1:15" ht="13.5" customHeight="1">
      <c r="A214" s="1"/>
      <c r="B214" s="1"/>
      <c r="C214" s="52"/>
      <c r="D214" s="133"/>
      <c r="E214" s="133"/>
      <c r="F214" s="133"/>
      <c r="G214" s="133"/>
      <c r="H214" s="133"/>
      <c r="I214" s="52"/>
      <c r="J214" s="52"/>
      <c r="K214" s="52"/>
      <c r="L214" s="52"/>
      <c r="M214" s="52"/>
      <c r="N214" s="52"/>
      <c r="O214" s="52"/>
    </row>
    <row r="215" spans="1:15" ht="13.5" customHeight="1">
      <c r="A215" s="1"/>
      <c r="B215" s="1"/>
      <c r="C215" s="52"/>
      <c r="D215" s="133"/>
      <c r="E215" s="133"/>
      <c r="F215" s="133"/>
      <c r="G215" s="133"/>
      <c r="H215" s="133"/>
      <c r="I215" s="52"/>
      <c r="J215" s="52"/>
      <c r="K215" s="52"/>
      <c r="L215" s="52"/>
      <c r="M215" s="52"/>
      <c r="N215" s="52"/>
      <c r="O215" s="52"/>
    </row>
    <row r="216" spans="1:15" ht="13.5" customHeight="1">
      <c r="A216" s="1"/>
      <c r="B216" s="1"/>
      <c r="C216" s="52"/>
      <c r="D216" s="133"/>
      <c r="E216" s="133"/>
      <c r="F216" s="133"/>
      <c r="G216" s="133"/>
      <c r="H216" s="133"/>
      <c r="I216" s="52"/>
      <c r="J216" s="52"/>
      <c r="K216" s="52"/>
      <c r="L216" s="52"/>
      <c r="M216" s="52"/>
      <c r="N216" s="52"/>
      <c r="O216" s="52"/>
    </row>
    <row r="217" spans="1:15" ht="13.5" customHeight="1">
      <c r="A217" s="1"/>
      <c r="B217" s="1"/>
      <c r="C217" s="52"/>
      <c r="D217" s="133"/>
      <c r="E217" s="133"/>
      <c r="F217" s="133"/>
      <c r="G217" s="133"/>
      <c r="H217" s="133"/>
      <c r="I217" s="52"/>
      <c r="J217" s="52"/>
      <c r="K217" s="52"/>
      <c r="L217" s="52"/>
      <c r="M217" s="52"/>
      <c r="N217" s="52"/>
      <c r="O217" s="52"/>
    </row>
    <row r="218" spans="1:15" ht="13.5" customHeight="1">
      <c r="A218" s="1"/>
      <c r="B218" s="1"/>
      <c r="C218" s="52"/>
      <c r="D218" s="133"/>
      <c r="E218" s="133"/>
      <c r="F218" s="133"/>
      <c r="G218" s="133"/>
      <c r="H218" s="133"/>
      <c r="I218" s="52"/>
      <c r="J218" s="52"/>
      <c r="K218" s="52"/>
      <c r="L218" s="52"/>
      <c r="M218" s="52"/>
      <c r="N218" s="52"/>
      <c r="O218" s="52"/>
    </row>
    <row r="219" spans="1:15" ht="13.5" customHeight="1">
      <c r="A219" s="1"/>
      <c r="B219" s="1"/>
      <c r="C219" s="52"/>
      <c r="D219" s="133"/>
      <c r="E219" s="133"/>
      <c r="F219" s="133"/>
      <c r="G219" s="133"/>
      <c r="H219" s="133"/>
      <c r="I219" s="52"/>
      <c r="J219" s="52"/>
      <c r="K219" s="52"/>
      <c r="L219" s="52"/>
      <c r="M219" s="52"/>
      <c r="N219" s="52"/>
      <c r="O219" s="52"/>
    </row>
    <row r="220" spans="1:15" ht="13.5" customHeight="1">
      <c r="A220" s="1"/>
      <c r="B220" s="1"/>
      <c r="C220" s="52"/>
      <c r="D220" s="133"/>
      <c r="E220" s="133"/>
      <c r="F220" s="133"/>
      <c r="G220" s="133"/>
      <c r="H220" s="133"/>
      <c r="I220" s="52"/>
      <c r="J220" s="52"/>
      <c r="K220" s="52"/>
      <c r="L220" s="52"/>
      <c r="M220" s="52"/>
      <c r="N220" s="52"/>
      <c r="O220" s="52"/>
    </row>
    <row r="221" spans="1:15" ht="13.5" customHeight="1">
      <c r="A221" s="1"/>
      <c r="B221" s="1"/>
      <c r="C221" s="52"/>
      <c r="D221" s="133"/>
      <c r="E221" s="133"/>
      <c r="F221" s="133"/>
      <c r="G221" s="133"/>
      <c r="H221" s="133"/>
      <c r="I221" s="52"/>
      <c r="J221" s="52"/>
      <c r="K221" s="52"/>
      <c r="L221" s="52"/>
      <c r="M221" s="52"/>
      <c r="N221" s="52"/>
      <c r="O221" s="52"/>
    </row>
    <row r="222" spans="1:15" ht="13.5" customHeight="1">
      <c r="A222" s="1"/>
      <c r="B222" s="1"/>
      <c r="C222" s="52"/>
      <c r="D222" s="133"/>
      <c r="E222" s="133"/>
      <c r="F222" s="133"/>
      <c r="G222" s="133"/>
      <c r="H222" s="133"/>
      <c r="I222" s="52"/>
      <c r="J222" s="52"/>
      <c r="K222" s="52"/>
      <c r="L222" s="52"/>
      <c r="M222" s="52"/>
      <c r="N222" s="52"/>
      <c r="O222" s="52"/>
    </row>
    <row r="223" spans="1:15" ht="13.5" customHeight="1">
      <c r="A223" s="1"/>
      <c r="B223" s="1"/>
      <c r="C223" s="52"/>
      <c r="D223" s="133"/>
      <c r="E223" s="133"/>
      <c r="F223" s="133"/>
      <c r="G223" s="133"/>
      <c r="H223" s="133"/>
      <c r="I223" s="52"/>
      <c r="J223" s="52"/>
      <c r="K223" s="52"/>
      <c r="L223" s="52"/>
      <c r="M223" s="52"/>
      <c r="N223" s="52"/>
      <c r="O223" s="52"/>
    </row>
    <row r="224" spans="1:15" ht="13.5" customHeight="1">
      <c r="A224" s="1"/>
      <c r="B224" s="1"/>
      <c r="C224" s="52"/>
      <c r="D224" s="133"/>
      <c r="E224" s="133"/>
      <c r="F224" s="133"/>
      <c r="G224" s="133"/>
      <c r="H224" s="133"/>
      <c r="I224" s="52"/>
      <c r="J224" s="52"/>
      <c r="K224" s="52"/>
      <c r="L224" s="52"/>
      <c r="M224" s="52"/>
      <c r="N224" s="52"/>
      <c r="O224" s="52"/>
    </row>
    <row r="225" spans="1:15" ht="13.5" customHeight="1">
      <c r="A225" s="1"/>
      <c r="B225" s="1"/>
      <c r="C225" s="52"/>
      <c r="D225" s="133"/>
      <c r="E225" s="133"/>
      <c r="F225" s="133"/>
      <c r="G225" s="133"/>
      <c r="H225" s="133"/>
      <c r="I225" s="52"/>
      <c r="J225" s="52"/>
      <c r="K225" s="52"/>
      <c r="L225" s="52"/>
      <c r="M225" s="52"/>
      <c r="N225" s="52"/>
      <c r="O225" s="52"/>
    </row>
    <row r="226" spans="1:15" ht="13.5" customHeight="1">
      <c r="A226" s="1"/>
      <c r="B226" s="1"/>
      <c r="C226" s="52"/>
      <c r="D226" s="133"/>
      <c r="E226" s="133"/>
      <c r="F226" s="133"/>
      <c r="G226" s="133"/>
      <c r="H226" s="133"/>
      <c r="I226" s="52"/>
      <c r="J226" s="52"/>
      <c r="K226" s="52"/>
      <c r="L226" s="52"/>
      <c r="M226" s="52"/>
      <c r="N226" s="52"/>
      <c r="O226" s="52"/>
    </row>
    <row r="227" spans="1:15" ht="13.5" customHeight="1">
      <c r="A227" s="1"/>
      <c r="B227" s="1"/>
      <c r="C227" s="52"/>
      <c r="D227" s="133"/>
      <c r="E227" s="133"/>
      <c r="F227" s="133"/>
      <c r="G227" s="133"/>
      <c r="H227" s="133"/>
      <c r="I227" s="52"/>
      <c r="J227" s="52"/>
      <c r="K227" s="52"/>
      <c r="L227" s="52"/>
      <c r="M227" s="52"/>
      <c r="N227" s="52"/>
      <c r="O227" s="52"/>
    </row>
    <row r="228" spans="1:15" ht="13.5" customHeight="1">
      <c r="A228" s="1"/>
      <c r="B228" s="1"/>
      <c r="C228" s="52"/>
      <c r="D228" s="133"/>
      <c r="E228" s="133"/>
      <c r="F228" s="133"/>
      <c r="G228" s="133"/>
      <c r="H228" s="133"/>
      <c r="I228" s="52"/>
      <c r="J228" s="52"/>
      <c r="K228" s="52"/>
      <c r="L228" s="52"/>
      <c r="M228" s="52"/>
      <c r="N228" s="52"/>
      <c r="O228" s="52"/>
    </row>
    <row r="229" spans="1:15" ht="13.5" customHeight="1">
      <c r="A229" s="1"/>
      <c r="B229" s="1"/>
      <c r="C229" s="52"/>
      <c r="D229" s="133"/>
      <c r="E229" s="133"/>
      <c r="F229" s="133"/>
      <c r="G229" s="133"/>
      <c r="H229" s="133"/>
      <c r="I229" s="52"/>
      <c r="J229" s="52"/>
      <c r="K229" s="52"/>
      <c r="L229" s="52"/>
      <c r="M229" s="52"/>
      <c r="N229" s="52"/>
      <c r="O229" s="52"/>
    </row>
    <row r="230" spans="1:15" ht="13.5" customHeight="1">
      <c r="A230" s="1"/>
      <c r="B230" s="1"/>
      <c r="C230" s="52"/>
      <c r="D230" s="133"/>
      <c r="E230" s="133"/>
      <c r="F230" s="133"/>
      <c r="G230" s="133"/>
      <c r="H230" s="133"/>
      <c r="I230" s="52"/>
      <c r="J230" s="52"/>
      <c r="K230" s="52"/>
      <c r="L230" s="52"/>
      <c r="M230" s="52"/>
      <c r="N230" s="52"/>
      <c r="O230" s="52"/>
    </row>
    <row r="231" spans="1:15" ht="13.5" customHeight="1">
      <c r="A231" s="1"/>
      <c r="B231" s="1"/>
      <c r="C231" s="52"/>
      <c r="D231" s="133"/>
      <c r="E231" s="133"/>
      <c r="F231" s="133"/>
      <c r="G231" s="133"/>
      <c r="H231" s="133"/>
      <c r="I231" s="52"/>
      <c r="J231" s="52"/>
      <c r="K231" s="52"/>
      <c r="L231" s="52"/>
      <c r="M231" s="52"/>
      <c r="N231" s="52"/>
      <c r="O231" s="52"/>
    </row>
    <row r="232" spans="1:15" ht="13.5" customHeight="1">
      <c r="A232" s="1"/>
      <c r="B232" s="1"/>
      <c r="C232" s="52"/>
      <c r="D232" s="133"/>
      <c r="E232" s="133"/>
      <c r="F232" s="133"/>
      <c r="G232" s="133"/>
      <c r="H232" s="133"/>
      <c r="I232" s="52"/>
      <c r="J232" s="52"/>
      <c r="K232" s="52"/>
      <c r="L232" s="52"/>
      <c r="M232" s="52"/>
      <c r="N232" s="52"/>
      <c r="O232" s="52"/>
    </row>
    <row r="233" spans="1:15" ht="13.5" customHeight="1">
      <c r="A233" s="1"/>
      <c r="B233" s="1"/>
      <c r="C233" s="52"/>
      <c r="D233" s="133"/>
      <c r="E233" s="133"/>
      <c r="F233" s="133"/>
      <c r="G233" s="133"/>
      <c r="H233" s="133"/>
      <c r="I233" s="52"/>
      <c r="J233" s="52"/>
      <c r="K233" s="52"/>
      <c r="L233" s="52"/>
      <c r="M233" s="52"/>
      <c r="N233" s="52"/>
      <c r="O233" s="52"/>
    </row>
    <row r="234" spans="1:15" ht="13.5" customHeight="1">
      <c r="A234" s="1"/>
      <c r="B234" s="1"/>
      <c r="C234" s="52"/>
      <c r="D234" s="133"/>
      <c r="E234" s="133"/>
      <c r="F234" s="133"/>
      <c r="G234" s="133"/>
      <c r="H234" s="133"/>
      <c r="I234" s="52"/>
      <c r="J234" s="52"/>
      <c r="K234" s="52"/>
      <c r="L234" s="52"/>
      <c r="M234" s="52"/>
      <c r="N234" s="52"/>
      <c r="O234" s="52"/>
    </row>
    <row r="235" spans="1:15" ht="13.5" customHeight="1">
      <c r="A235" s="1"/>
      <c r="B235" s="1"/>
      <c r="C235" s="52"/>
      <c r="D235" s="133"/>
      <c r="E235" s="133"/>
      <c r="F235" s="133"/>
      <c r="G235" s="133"/>
      <c r="H235" s="133"/>
      <c r="I235" s="52"/>
      <c r="J235" s="52"/>
      <c r="K235" s="52"/>
      <c r="L235" s="52"/>
      <c r="M235" s="52"/>
      <c r="N235" s="52"/>
      <c r="O235" s="52"/>
    </row>
    <row r="236" spans="1:15" ht="13.5" customHeight="1">
      <c r="A236" s="1"/>
      <c r="B236" s="1"/>
      <c r="C236" s="52"/>
      <c r="D236" s="133"/>
      <c r="E236" s="133"/>
      <c r="F236" s="133"/>
      <c r="G236" s="133"/>
      <c r="H236" s="133"/>
      <c r="I236" s="52"/>
      <c r="J236" s="52"/>
      <c r="K236" s="52"/>
      <c r="L236" s="52"/>
      <c r="M236" s="52"/>
      <c r="N236" s="52"/>
      <c r="O236" s="52"/>
    </row>
    <row r="237" spans="1:15" ht="13.5" customHeight="1">
      <c r="A237" s="1"/>
      <c r="B237" s="1"/>
      <c r="C237" s="52"/>
      <c r="D237" s="133"/>
      <c r="E237" s="133"/>
      <c r="F237" s="133"/>
      <c r="G237" s="133"/>
      <c r="H237" s="133"/>
      <c r="I237" s="52"/>
      <c r="J237" s="52"/>
      <c r="K237" s="52"/>
      <c r="L237" s="52"/>
      <c r="M237" s="52"/>
      <c r="N237" s="52"/>
      <c r="O237" s="52"/>
    </row>
    <row r="238" spans="1:15" ht="13.5" customHeight="1">
      <c r="A238" s="1"/>
      <c r="B238" s="1"/>
      <c r="C238" s="52"/>
      <c r="D238" s="133"/>
      <c r="E238" s="133"/>
      <c r="F238" s="133"/>
      <c r="G238" s="133"/>
      <c r="H238" s="133"/>
      <c r="I238" s="52"/>
      <c r="J238" s="52"/>
      <c r="K238" s="52"/>
      <c r="L238" s="52"/>
      <c r="M238" s="52"/>
      <c r="N238" s="52"/>
      <c r="O238" s="52"/>
    </row>
    <row r="239" spans="1:15" ht="13.5" customHeight="1">
      <c r="A239" s="1"/>
      <c r="B239" s="1"/>
      <c r="C239" s="52"/>
      <c r="D239" s="133"/>
      <c r="E239" s="133"/>
      <c r="F239" s="133"/>
      <c r="G239" s="133"/>
      <c r="H239" s="133"/>
      <c r="I239" s="52"/>
      <c r="J239" s="52"/>
      <c r="K239" s="52"/>
      <c r="L239" s="52"/>
      <c r="M239" s="52"/>
      <c r="N239" s="52"/>
      <c r="O239" s="52"/>
    </row>
    <row r="240" spans="1:15" ht="13.5" customHeight="1">
      <c r="A240" s="1"/>
      <c r="B240" s="1"/>
      <c r="C240" s="52"/>
      <c r="D240" s="133"/>
      <c r="E240" s="133"/>
      <c r="F240" s="133"/>
      <c r="G240" s="133"/>
      <c r="H240" s="133"/>
      <c r="I240" s="52"/>
      <c r="J240" s="52"/>
      <c r="K240" s="52"/>
      <c r="L240" s="52"/>
      <c r="M240" s="52"/>
      <c r="N240" s="52"/>
      <c r="O240" s="52"/>
    </row>
    <row r="241" spans="1:15" ht="13.5" customHeight="1">
      <c r="A241" s="1"/>
      <c r="B241" s="1"/>
      <c r="C241" s="52"/>
      <c r="D241" s="133"/>
      <c r="E241" s="133"/>
      <c r="F241" s="133"/>
      <c r="G241" s="133"/>
      <c r="H241" s="133"/>
      <c r="I241" s="52"/>
      <c r="J241" s="52"/>
      <c r="K241" s="52"/>
      <c r="L241" s="52"/>
      <c r="M241" s="52"/>
      <c r="N241" s="52"/>
      <c r="O241" s="52"/>
    </row>
    <row r="242" spans="1:15" ht="13.5" customHeight="1">
      <c r="A242" s="1"/>
      <c r="B242" s="1"/>
      <c r="C242" s="52"/>
      <c r="D242" s="133"/>
      <c r="E242" s="133"/>
      <c r="F242" s="133"/>
      <c r="G242" s="133"/>
      <c r="H242" s="133"/>
      <c r="I242" s="52"/>
      <c r="J242" s="52"/>
      <c r="K242" s="52"/>
      <c r="L242" s="52"/>
      <c r="M242" s="52"/>
      <c r="N242" s="52"/>
      <c r="O242" s="52"/>
    </row>
    <row r="243" spans="1:15" ht="13.5" customHeight="1">
      <c r="A243" s="1"/>
      <c r="B243" s="1"/>
      <c r="C243" s="52"/>
      <c r="D243" s="133"/>
      <c r="E243" s="133"/>
      <c r="F243" s="133"/>
      <c r="G243" s="133"/>
      <c r="H243" s="133"/>
      <c r="I243" s="52"/>
      <c r="J243" s="52"/>
      <c r="K243" s="52"/>
      <c r="L243" s="52"/>
      <c r="M243" s="52"/>
      <c r="N243" s="52"/>
      <c r="O243" s="52"/>
    </row>
    <row r="244" spans="1:15" ht="13.5" customHeight="1">
      <c r="A244" s="1"/>
      <c r="B244" s="1"/>
      <c r="C244" s="52"/>
      <c r="D244" s="133"/>
      <c r="E244" s="133"/>
      <c r="F244" s="133"/>
      <c r="G244" s="133"/>
      <c r="H244" s="133"/>
      <c r="I244" s="52"/>
      <c r="J244" s="52"/>
      <c r="K244" s="52"/>
      <c r="L244" s="52"/>
      <c r="M244" s="52"/>
      <c r="N244" s="52"/>
      <c r="O244" s="52"/>
    </row>
    <row r="245" spans="1:15" ht="13.5" customHeight="1">
      <c r="A245" s="1"/>
      <c r="B245" s="1"/>
      <c r="C245" s="52"/>
      <c r="D245" s="133"/>
      <c r="E245" s="133"/>
      <c r="F245" s="133"/>
      <c r="G245" s="133"/>
      <c r="H245" s="133"/>
      <c r="I245" s="52"/>
      <c r="J245" s="52"/>
      <c r="K245" s="52"/>
      <c r="L245" s="52"/>
      <c r="M245" s="52"/>
      <c r="N245" s="52"/>
      <c r="O245" s="52"/>
    </row>
    <row r="246" spans="1:15" ht="13.5" customHeight="1">
      <c r="A246" s="1"/>
      <c r="B246" s="1"/>
      <c r="C246" s="52"/>
      <c r="D246" s="133"/>
      <c r="E246" s="133"/>
      <c r="F246" s="133"/>
      <c r="G246" s="133"/>
      <c r="H246" s="133"/>
      <c r="I246" s="52"/>
      <c r="J246" s="52"/>
      <c r="K246" s="52"/>
      <c r="L246" s="52"/>
      <c r="M246" s="52"/>
      <c r="N246" s="52"/>
      <c r="O246" s="52"/>
    </row>
    <row r="247" spans="1:15" ht="13.5" customHeight="1">
      <c r="A247" s="1"/>
      <c r="B247" s="1"/>
      <c r="C247" s="52"/>
      <c r="D247" s="133"/>
      <c r="E247" s="133"/>
      <c r="F247" s="133"/>
      <c r="G247" s="133"/>
      <c r="H247" s="133"/>
      <c r="I247" s="52"/>
      <c r="J247" s="52"/>
      <c r="K247" s="52"/>
      <c r="L247" s="52"/>
      <c r="M247" s="52"/>
      <c r="N247" s="52"/>
      <c r="O247" s="52"/>
    </row>
    <row r="248" spans="1:15" ht="13.5" customHeight="1">
      <c r="A248" s="1"/>
      <c r="B248" s="1"/>
      <c r="C248" s="52"/>
      <c r="D248" s="133"/>
      <c r="E248" s="133"/>
      <c r="F248" s="133"/>
      <c r="G248" s="133"/>
      <c r="H248" s="133"/>
      <c r="I248" s="52"/>
      <c r="J248" s="52"/>
      <c r="K248" s="52"/>
      <c r="L248" s="52"/>
      <c r="M248" s="52"/>
      <c r="N248" s="52"/>
      <c r="O248" s="52"/>
    </row>
    <row r="249" spans="1:15" ht="13.5" customHeight="1">
      <c r="A249" s="1"/>
      <c r="B249" s="1"/>
      <c r="C249" s="52"/>
      <c r="D249" s="133"/>
      <c r="E249" s="133"/>
      <c r="F249" s="133"/>
      <c r="G249" s="133"/>
      <c r="H249" s="133"/>
      <c r="I249" s="52"/>
      <c r="J249" s="52"/>
      <c r="K249" s="52"/>
      <c r="L249" s="52"/>
      <c r="M249" s="52"/>
      <c r="N249" s="52"/>
      <c r="O249" s="52"/>
    </row>
    <row r="250" spans="1:15" ht="13.5" customHeight="1">
      <c r="A250" s="1"/>
      <c r="B250" s="1"/>
      <c r="C250" s="52"/>
      <c r="D250" s="133"/>
      <c r="E250" s="133"/>
      <c r="F250" s="133"/>
      <c r="G250" s="133"/>
      <c r="H250" s="133"/>
      <c r="I250" s="52"/>
      <c r="J250" s="52"/>
      <c r="K250" s="52"/>
      <c r="L250" s="52"/>
      <c r="M250" s="52"/>
      <c r="N250" s="52"/>
      <c r="O250" s="52"/>
    </row>
    <row r="251" spans="1:15" ht="13.5" customHeight="1">
      <c r="A251" s="1"/>
      <c r="B251" s="1"/>
      <c r="C251" s="52"/>
      <c r="D251" s="133"/>
      <c r="E251" s="133"/>
      <c r="F251" s="133"/>
      <c r="G251" s="133"/>
      <c r="H251" s="133"/>
      <c r="I251" s="52"/>
      <c r="J251" s="52"/>
      <c r="K251" s="52"/>
      <c r="L251" s="52"/>
      <c r="M251" s="52"/>
      <c r="N251" s="52"/>
      <c r="O251" s="52"/>
    </row>
    <row r="252" spans="1:15" ht="13.5" customHeight="1">
      <c r="A252" s="1"/>
      <c r="B252" s="1"/>
      <c r="C252" s="52"/>
      <c r="D252" s="133"/>
      <c r="E252" s="133"/>
      <c r="F252" s="133"/>
      <c r="G252" s="133"/>
      <c r="H252" s="133"/>
      <c r="I252" s="52"/>
      <c r="J252" s="52"/>
      <c r="K252" s="52"/>
      <c r="L252" s="52"/>
      <c r="M252" s="52"/>
      <c r="N252" s="52"/>
      <c r="O252" s="52"/>
    </row>
    <row r="253" spans="1:15" ht="13.5" customHeight="1">
      <c r="A253" s="1"/>
      <c r="B253" s="1"/>
      <c r="C253" s="52"/>
      <c r="D253" s="133"/>
      <c r="E253" s="133"/>
      <c r="F253" s="133"/>
      <c r="G253" s="133"/>
      <c r="H253" s="133"/>
      <c r="I253" s="52"/>
      <c r="J253" s="52"/>
      <c r="K253" s="52"/>
      <c r="L253" s="52"/>
      <c r="M253" s="52"/>
      <c r="N253" s="52"/>
      <c r="O253" s="52"/>
    </row>
    <row r="254" spans="1:15" ht="13.5" customHeight="1">
      <c r="A254" s="1"/>
      <c r="B254" s="1"/>
      <c r="C254" s="52"/>
      <c r="D254" s="133"/>
      <c r="E254" s="133"/>
      <c r="F254" s="133"/>
      <c r="G254" s="133"/>
      <c r="H254" s="133"/>
      <c r="I254" s="52"/>
      <c r="J254" s="52"/>
      <c r="K254" s="52"/>
      <c r="L254" s="52"/>
      <c r="M254" s="52"/>
      <c r="N254" s="52"/>
      <c r="O254" s="52"/>
    </row>
    <row r="255" spans="1:15" ht="13.5" customHeight="1">
      <c r="A255" s="1"/>
      <c r="B255" s="1"/>
      <c r="C255" s="52"/>
      <c r="D255" s="133"/>
      <c r="E255" s="133"/>
      <c r="F255" s="133"/>
      <c r="G255" s="133"/>
      <c r="H255" s="133"/>
      <c r="I255" s="52"/>
      <c r="J255" s="52"/>
      <c r="K255" s="52"/>
      <c r="L255" s="52"/>
      <c r="M255" s="52"/>
      <c r="N255" s="52"/>
      <c r="O255" s="52"/>
    </row>
    <row r="256" spans="1:15" ht="13.5" customHeight="1">
      <c r="A256" s="1"/>
      <c r="B256" s="1"/>
      <c r="C256" s="52"/>
      <c r="D256" s="133"/>
      <c r="E256" s="133"/>
      <c r="F256" s="133"/>
      <c r="G256" s="133"/>
      <c r="H256" s="133"/>
      <c r="I256" s="52"/>
      <c r="J256" s="52"/>
      <c r="K256" s="52"/>
      <c r="L256" s="52"/>
      <c r="M256" s="52"/>
      <c r="N256" s="52"/>
      <c r="O256" s="52"/>
    </row>
    <row r="257" spans="1:15" ht="13.5" customHeight="1">
      <c r="A257" s="1"/>
      <c r="B257" s="1"/>
      <c r="C257" s="52"/>
      <c r="D257" s="133"/>
      <c r="E257" s="133"/>
      <c r="F257" s="133"/>
      <c r="G257" s="133"/>
      <c r="H257" s="133"/>
      <c r="I257" s="52"/>
      <c r="J257" s="52"/>
      <c r="K257" s="52"/>
      <c r="L257" s="52"/>
      <c r="M257" s="52"/>
      <c r="N257" s="52"/>
      <c r="O257" s="52"/>
    </row>
    <row r="258" spans="1:15" ht="13.5" customHeight="1">
      <c r="A258" s="1"/>
      <c r="B258" s="1"/>
      <c r="C258" s="52"/>
      <c r="D258" s="133"/>
      <c r="E258" s="133"/>
      <c r="F258" s="133"/>
      <c r="G258" s="133"/>
      <c r="H258" s="133"/>
      <c r="I258" s="52"/>
      <c r="J258" s="52"/>
      <c r="K258" s="52"/>
      <c r="L258" s="52"/>
      <c r="M258" s="52"/>
      <c r="N258" s="52"/>
      <c r="O258" s="52"/>
    </row>
    <row r="259" spans="1:15" ht="13.5" customHeight="1">
      <c r="A259" s="1"/>
      <c r="B259" s="1"/>
      <c r="C259" s="52"/>
      <c r="D259" s="133"/>
      <c r="E259" s="133"/>
      <c r="F259" s="133"/>
      <c r="G259" s="133"/>
      <c r="H259" s="133"/>
      <c r="I259" s="52"/>
      <c r="J259" s="52"/>
      <c r="K259" s="52"/>
      <c r="L259" s="52"/>
      <c r="M259" s="52"/>
      <c r="N259" s="52"/>
      <c r="O259" s="52"/>
    </row>
    <row r="260" spans="1:15" ht="13.5" customHeight="1">
      <c r="A260" s="1"/>
      <c r="B260" s="1"/>
      <c r="C260" s="52"/>
      <c r="D260" s="133"/>
      <c r="E260" s="133"/>
      <c r="F260" s="133"/>
      <c r="G260" s="133"/>
      <c r="H260" s="133"/>
      <c r="I260" s="52"/>
      <c r="J260" s="52"/>
      <c r="K260" s="52"/>
      <c r="L260" s="52"/>
      <c r="M260" s="52"/>
      <c r="N260" s="52"/>
      <c r="O260" s="52"/>
    </row>
    <row r="261" spans="1:15" ht="13.5" customHeight="1">
      <c r="A261" s="1"/>
      <c r="B261" s="1"/>
      <c r="C261" s="52"/>
      <c r="D261" s="133"/>
      <c r="E261" s="133"/>
      <c r="F261" s="133"/>
      <c r="G261" s="133"/>
      <c r="H261" s="133"/>
      <c r="I261" s="52"/>
      <c r="J261" s="52"/>
      <c r="K261" s="52"/>
      <c r="L261" s="52"/>
      <c r="M261" s="52"/>
      <c r="N261" s="52"/>
      <c r="O261" s="52"/>
    </row>
    <row r="262" spans="1:15" ht="13.5" customHeight="1">
      <c r="A262" s="1"/>
      <c r="B262" s="1"/>
      <c r="C262" s="52"/>
      <c r="D262" s="133"/>
      <c r="E262" s="133"/>
      <c r="F262" s="133"/>
      <c r="G262" s="133"/>
      <c r="H262" s="133"/>
      <c r="I262" s="52"/>
      <c r="J262" s="52"/>
      <c r="K262" s="52"/>
      <c r="L262" s="52"/>
      <c r="M262" s="52"/>
      <c r="N262" s="52"/>
      <c r="O262" s="52"/>
    </row>
    <row r="263" spans="1:15" ht="13.5" customHeight="1">
      <c r="A263" s="1"/>
      <c r="B263" s="1"/>
      <c r="C263" s="52"/>
      <c r="D263" s="133"/>
      <c r="E263" s="133"/>
      <c r="F263" s="133"/>
      <c r="G263" s="133"/>
      <c r="H263" s="133"/>
      <c r="I263" s="52"/>
      <c r="J263" s="52"/>
      <c r="K263" s="52"/>
      <c r="L263" s="52"/>
      <c r="M263" s="52"/>
      <c r="N263" s="52"/>
      <c r="O263" s="52"/>
    </row>
    <row r="264" spans="1:15" ht="13.5" customHeight="1">
      <c r="A264" s="1"/>
      <c r="B264" s="1"/>
      <c r="C264" s="52"/>
      <c r="D264" s="133"/>
      <c r="E264" s="133"/>
      <c r="F264" s="133"/>
      <c r="G264" s="133"/>
      <c r="H264" s="133"/>
      <c r="I264" s="52"/>
      <c r="J264" s="52"/>
      <c r="K264" s="52"/>
      <c r="L264" s="52"/>
      <c r="M264" s="52"/>
      <c r="N264" s="52"/>
      <c r="O264" s="52"/>
    </row>
    <row r="265" spans="1:15" ht="13.5" customHeight="1">
      <c r="A265" s="1"/>
      <c r="B265" s="1"/>
      <c r="C265" s="52"/>
      <c r="D265" s="133"/>
      <c r="E265" s="133"/>
      <c r="F265" s="133"/>
      <c r="G265" s="133"/>
      <c r="H265" s="133"/>
      <c r="I265" s="52"/>
      <c r="J265" s="52"/>
      <c r="K265" s="52"/>
      <c r="L265" s="52"/>
      <c r="M265" s="52"/>
      <c r="N265" s="52"/>
      <c r="O265" s="52"/>
    </row>
    <row r="266" spans="1:15" ht="13.5" customHeight="1">
      <c r="A266" s="1"/>
      <c r="B266" s="1"/>
      <c r="C266" s="52"/>
      <c r="D266" s="133"/>
      <c r="E266" s="133"/>
      <c r="F266" s="133"/>
      <c r="G266" s="133"/>
      <c r="H266" s="133"/>
      <c r="I266" s="52"/>
      <c r="J266" s="52"/>
      <c r="K266" s="52"/>
      <c r="L266" s="52"/>
      <c r="M266" s="52"/>
      <c r="N266" s="52"/>
      <c r="O266" s="52"/>
    </row>
    <row r="267" spans="1:15" ht="13.5" customHeight="1">
      <c r="A267" s="1"/>
      <c r="B267" s="1"/>
      <c r="C267" s="52"/>
      <c r="D267" s="133"/>
      <c r="E267" s="133"/>
      <c r="F267" s="133"/>
      <c r="G267" s="133"/>
      <c r="H267" s="133"/>
      <c r="I267" s="52"/>
      <c r="J267" s="52"/>
      <c r="K267" s="52"/>
      <c r="L267" s="52"/>
      <c r="M267" s="52"/>
      <c r="N267" s="52"/>
      <c r="O267" s="52"/>
    </row>
    <row r="268" spans="1:15" ht="13.5" customHeight="1">
      <c r="A268" s="1"/>
      <c r="B268" s="1"/>
      <c r="C268" s="52"/>
      <c r="D268" s="133"/>
      <c r="E268" s="133"/>
      <c r="F268" s="133"/>
      <c r="G268" s="133"/>
      <c r="H268" s="133"/>
      <c r="I268" s="52"/>
      <c r="J268" s="52"/>
      <c r="K268" s="52"/>
      <c r="L268" s="52"/>
      <c r="M268" s="52"/>
      <c r="N268" s="52"/>
      <c r="O268" s="52"/>
    </row>
    <row r="269" spans="1:15" ht="13.5" customHeight="1">
      <c r="A269" s="1"/>
      <c r="B269" s="1"/>
      <c r="C269" s="52"/>
      <c r="D269" s="133"/>
      <c r="E269" s="133"/>
      <c r="F269" s="133"/>
      <c r="G269" s="133"/>
      <c r="H269" s="133"/>
      <c r="I269" s="52"/>
      <c r="J269" s="52"/>
      <c r="K269" s="52"/>
      <c r="L269" s="52"/>
      <c r="M269" s="52"/>
      <c r="N269" s="52"/>
      <c r="O269" s="52"/>
    </row>
    <row r="270" spans="1:15" ht="13.5" customHeight="1">
      <c r="A270" s="1"/>
      <c r="B270" s="1"/>
      <c r="C270" s="52"/>
      <c r="D270" s="133"/>
      <c r="E270" s="133"/>
      <c r="F270" s="133"/>
      <c r="G270" s="133"/>
      <c r="H270" s="133"/>
      <c r="I270" s="52"/>
      <c r="J270" s="52"/>
      <c r="K270" s="52"/>
      <c r="L270" s="52"/>
      <c r="M270" s="52"/>
      <c r="N270" s="52"/>
      <c r="O270" s="52"/>
    </row>
    <row r="271" spans="1:15" ht="13.5" customHeight="1">
      <c r="A271" s="1"/>
      <c r="B271" s="1"/>
      <c r="C271" s="52"/>
      <c r="D271" s="133"/>
      <c r="E271" s="133"/>
      <c r="F271" s="133"/>
      <c r="G271" s="133"/>
      <c r="H271" s="133"/>
      <c r="I271" s="52"/>
      <c r="J271" s="52"/>
      <c r="K271" s="52"/>
      <c r="L271" s="52"/>
      <c r="M271" s="52"/>
      <c r="N271" s="52"/>
      <c r="O271" s="52"/>
    </row>
    <row r="272" spans="1:15" ht="13.5" customHeight="1">
      <c r="A272" s="1"/>
      <c r="B272" s="1"/>
      <c r="C272" s="52"/>
      <c r="D272" s="133"/>
      <c r="E272" s="133"/>
      <c r="F272" s="133"/>
      <c r="G272" s="133"/>
      <c r="H272" s="133"/>
      <c r="I272" s="52"/>
      <c r="J272" s="52"/>
      <c r="K272" s="52"/>
      <c r="L272" s="52"/>
      <c r="M272" s="52"/>
      <c r="N272" s="52"/>
      <c r="O272" s="52"/>
    </row>
    <row r="273" spans="1:15" ht="13.5" customHeight="1">
      <c r="A273" s="1"/>
      <c r="B273" s="1"/>
      <c r="C273" s="52"/>
      <c r="D273" s="133"/>
      <c r="E273" s="133"/>
      <c r="F273" s="133"/>
      <c r="G273" s="133"/>
      <c r="H273" s="133"/>
      <c r="I273" s="52"/>
      <c r="J273" s="52"/>
      <c r="K273" s="52"/>
      <c r="L273" s="52"/>
      <c r="M273" s="52"/>
      <c r="N273" s="52"/>
      <c r="O273" s="52"/>
    </row>
    <row r="274" spans="1:15" ht="13.5" customHeight="1">
      <c r="A274" s="1"/>
      <c r="B274" s="1"/>
      <c r="C274" s="52"/>
      <c r="D274" s="133"/>
      <c r="E274" s="133"/>
      <c r="F274" s="133"/>
      <c r="G274" s="133"/>
      <c r="H274" s="133"/>
      <c r="I274" s="52"/>
      <c r="J274" s="52"/>
      <c r="K274" s="52"/>
      <c r="L274" s="52"/>
      <c r="M274" s="52"/>
      <c r="N274" s="52"/>
      <c r="O274" s="52"/>
    </row>
    <row r="275" spans="1:15" ht="13.5" customHeight="1">
      <c r="A275" s="1"/>
      <c r="B275" s="1"/>
      <c r="C275" s="52"/>
      <c r="D275" s="133"/>
      <c r="E275" s="133"/>
      <c r="F275" s="133"/>
      <c r="G275" s="133"/>
      <c r="H275" s="133"/>
      <c r="I275" s="52"/>
      <c r="J275" s="52"/>
      <c r="K275" s="52"/>
      <c r="L275" s="52"/>
      <c r="M275" s="52"/>
      <c r="N275" s="52"/>
      <c r="O275" s="52"/>
    </row>
    <row r="276" spans="1:15" ht="13.5" customHeight="1">
      <c r="A276" s="1"/>
      <c r="B276" s="1"/>
      <c r="C276" s="52"/>
      <c r="D276" s="133"/>
      <c r="E276" s="133"/>
      <c r="F276" s="133"/>
      <c r="G276" s="133"/>
      <c r="H276" s="133"/>
      <c r="I276" s="52"/>
      <c r="J276" s="52"/>
      <c r="K276" s="52"/>
      <c r="L276" s="52"/>
      <c r="M276" s="52"/>
      <c r="N276" s="52"/>
      <c r="O276" s="52"/>
    </row>
    <row r="277" spans="1:15" ht="13.5" customHeight="1">
      <c r="A277" s="1"/>
      <c r="B277" s="1"/>
      <c r="C277" s="52"/>
      <c r="D277" s="133"/>
      <c r="E277" s="133"/>
      <c r="F277" s="133"/>
      <c r="G277" s="133"/>
      <c r="H277" s="133"/>
      <c r="I277" s="52"/>
      <c r="J277" s="52"/>
      <c r="K277" s="52"/>
      <c r="L277" s="52"/>
      <c r="M277" s="52"/>
      <c r="N277" s="52"/>
      <c r="O277" s="52"/>
    </row>
    <row r="278" spans="1:15" ht="13.5" customHeight="1">
      <c r="A278" s="1"/>
      <c r="B278" s="1"/>
      <c r="C278" s="52"/>
      <c r="D278" s="133"/>
      <c r="E278" s="133"/>
      <c r="F278" s="133"/>
      <c r="G278" s="133"/>
      <c r="H278" s="133"/>
      <c r="I278" s="52"/>
      <c r="J278" s="52"/>
      <c r="K278" s="52"/>
      <c r="L278" s="52"/>
      <c r="M278" s="52"/>
      <c r="N278" s="52"/>
      <c r="O278" s="52"/>
    </row>
    <row r="279" spans="1:15" ht="13.5" customHeight="1">
      <c r="A279" s="1"/>
      <c r="B279" s="1"/>
      <c r="C279" s="52"/>
      <c r="D279" s="133"/>
      <c r="E279" s="133"/>
      <c r="F279" s="133"/>
      <c r="G279" s="133"/>
      <c r="H279" s="133"/>
      <c r="I279" s="52"/>
      <c r="J279" s="52"/>
      <c r="K279" s="52"/>
      <c r="L279" s="52"/>
      <c r="M279" s="52"/>
      <c r="N279" s="52"/>
      <c r="O279" s="52"/>
    </row>
    <row r="280" spans="1:15" ht="13.5" customHeight="1">
      <c r="A280" s="1"/>
      <c r="B280" s="1"/>
      <c r="C280" s="52"/>
      <c r="D280" s="133"/>
      <c r="E280" s="133"/>
      <c r="F280" s="133"/>
      <c r="G280" s="133"/>
      <c r="H280" s="133"/>
      <c r="I280" s="52"/>
      <c r="J280" s="52"/>
      <c r="K280" s="52"/>
      <c r="L280" s="52"/>
      <c r="M280" s="52"/>
      <c r="N280" s="52"/>
      <c r="O280" s="52"/>
    </row>
    <row r="281" spans="1:15" ht="13.5" customHeight="1">
      <c r="A281" s="1"/>
      <c r="B281" s="1"/>
      <c r="C281" s="52"/>
      <c r="D281" s="133"/>
      <c r="E281" s="133"/>
      <c r="F281" s="133"/>
      <c r="G281" s="133"/>
      <c r="H281" s="133"/>
      <c r="I281" s="52"/>
      <c r="J281" s="52"/>
      <c r="K281" s="52"/>
      <c r="L281" s="52"/>
      <c r="M281" s="52"/>
      <c r="N281" s="52"/>
      <c r="O281" s="52"/>
    </row>
    <row r="282" spans="1:15" ht="13.5" customHeight="1">
      <c r="A282" s="1"/>
      <c r="B282" s="1"/>
      <c r="C282" s="52"/>
      <c r="D282" s="133"/>
      <c r="E282" s="133"/>
      <c r="F282" s="133"/>
      <c r="G282" s="133"/>
      <c r="H282" s="133"/>
      <c r="I282" s="52"/>
      <c r="J282" s="52"/>
      <c r="K282" s="52"/>
      <c r="L282" s="52"/>
      <c r="M282" s="52"/>
      <c r="N282" s="52"/>
      <c r="O282" s="52"/>
    </row>
    <row r="283" spans="1:15" ht="13.5" customHeight="1">
      <c r="A283" s="1"/>
      <c r="B283" s="1"/>
      <c r="C283" s="52"/>
      <c r="D283" s="133"/>
      <c r="E283" s="133"/>
      <c r="F283" s="133"/>
      <c r="G283" s="133"/>
      <c r="H283" s="133"/>
      <c r="I283" s="52"/>
      <c r="J283" s="52"/>
      <c r="K283" s="52"/>
      <c r="L283" s="52"/>
      <c r="M283" s="52"/>
      <c r="N283" s="52"/>
      <c r="O283" s="52"/>
    </row>
    <row r="284" spans="1:15" ht="13.5" customHeight="1">
      <c r="A284" s="1"/>
      <c r="B284" s="1"/>
      <c r="C284" s="52"/>
      <c r="D284" s="133"/>
      <c r="E284" s="133"/>
      <c r="F284" s="133"/>
      <c r="G284" s="133"/>
      <c r="H284" s="133"/>
      <c r="I284" s="52"/>
      <c r="J284" s="52"/>
      <c r="K284" s="52"/>
      <c r="L284" s="52"/>
      <c r="M284" s="52"/>
      <c r="N284" s="52"/>
      <c r="O284" s="52"/>
    </row>
    <row r="285" spans="1:15" ht="13.5" customHeight="1">
      <c r="A285" s="1"/>
      <c r="B285" s="1"/>
      <c r="C285" s="52"/>
      <c r="D285" s="133"/>
      <c r="E285" s="133"/>
      <c r="F285" s="133"/>
      <c r="G285" s="133"/>
      <c r="H285" s="133"/>
      <c r="I285" s="52"/>
      <c r="J285" s="52"/>
      <c r="K285" s="52"/>
      <c r="L285" s="52"/>
      <c r="M285" s="52"/>
      <c r="N285" s="52"/>
      <c r="O285" s="52"/>
    </row>
    <row r="286" spans="1:15" ht="13.5" customHeight="1">
      <c r="A286" s="1"/>
      <c r="B286" s="1"/>
      <c r="C286" s="52"/>
      <c r="D286" s="133"/>
      <c r="E286" s="133"/>
      <c r="F286" s="133"/>
      <c r="G286" s="133"/>
      <c r="H286" s="133"/>
      <c r="I286" s="52"/>
      <c r="J286" s="52"/>
      <c r="K286" s="52"/>
      <c r="L286" s="52"/>
      <c r="M286" s="52"/>
      <c r="N286" s="52"/>
      <c r="O286" s="52"/>
    </row>
    <row r="287" spans="1:15" ht="13.5" customHeight="1">
      <c r="A287" s="1"/>
      <c r="B287" s="1"/>
      <c r="C287" s="52"/>
      <c r="D287" s="133"/>
      <c r="E287" s="133"/>
      <c r="F287" s="133"/>
      <c r="G287" s="133"/>
      <c r="H287" s="133"/>
      <c r="I287" s="52"/>
      <c r="J287" s="52"/>
      <c r="K287" s="52"/>
      <c r="L287" s="52"/>
      <c r="M287" s="52"/>
      <c r="N287" s="52"/>
      <c r="O287" s="52"/>
    </row>
    <row r="288" spans="1:15" ht="13.5" customHeight="1">
      <c r="A288" s="1"/>
      <c r="B288" s="1"/>
      <c r="C288" s="52"/>
      <c r="D288" s="133"/>
      <c r="E288" s="133"/>
      <c r="F288" s="133"/>
      <c r="G288" s="133"/>
      <c r="H288" s="133"/>
      <c r="I288" s="52"/>
      <c r="J288" s="52"/>
      <c r="K288" s="52"/>
      <c r="L288" s="52"/>
      <c r="M288" s="52"/>
      <c r="N288" s="52"/>
      <c r="O288" s="52"/>
    </row>
    <row r="289" spans="1:15" ht="13.5" customHeight="1">
      <c r="A289" s="1"/>
      <c r="B289" s="1"/>
      <c r="C289" s="52"/>
      <c r="D289" s="133"/>
      <c r="E289" s="133"/>
      <c r="F289" s="133"/>
      <c r="G289" s="133"/>
      <c r="H289" s="133"/>
      <c r="I289" s="52"/>
      <c r="J289" s="52"/>
      <c r="K289" s="52"/>
      <c r="L289" s="52"/>
      <c r="M289" s="52"/>
      <c r="N289" s="52"/>
      <c r="O289" s="52"/>
    </row>
    <row r="290" spans="1:15" ht="13.5" customHeight="1">
      <c r="A290" s="1"/>
      <c r="B290" s="1"/>
      <c r="C290" s="52"/>
      <c r="D290" s="133"/>
      <c r="E290" s="133"/>
      <c r="F290" s="133"/>
      <c r="G290" s="133"/>
      <c r="H290" s="133"/>
      <c r="I290" s="52"/>
      <c r="J290" s="52"/>
      <c r="K290" s="52"/>
      <c r="L290" s="52"/>
      <c r="M290" s="52"/>
      <c r="N290" s="52"/>
      <c r="O290" s="52"/>
    </row>
    <row r="291" spans="1:15" ht="13.5" customHeight="1">
      <c r="A291" s="1"/>
      <c r="B291" s="1"/>
      <c r="C291" s="52"/>
      <c r="D291" s="133"/>
      <c r="E291" s="133"/>
      <c r="F291" s="133"/>
      <c r="G291" s="133"/>
      <c r="H291" s="133"/>
      <c r="I291" s="52"/>
      <c r="J291" s="52"/>
      <c r="K291" s="52"/>
      <c r="L291" s="52"/>
      <c r="M291" s="52"/>
      <c r="N291" s="52"/>
      <c r="O291" s="52"/>
    </row>
    <row r="292" spans="1:15" ht="13.5" customHeight="1">
      <c r="A292" s="1"/>
      <c r="B292" s="1"/>
      <c r="C292" s="52"/>
      <c r="D292" s="133"/>
      <c r="E292" s="133"/>
      <c r="F292" s="133"/>
      <c r="G292" s="133"/>
      <c r="H292" s="133"/>
      <c r="I292" s="52"/>
      <c r="J292" s="52"/>
      <c r="K292" s="52"/>
      <c r="L292" s="52"/>
      <c r="M292" s="52"/>
      <c r="N292" s="52"/>
      <c r="O292" s="52"/>
    </row>
    <row r="293" spans="1:15" ht="13.5" customHeight="1">
      <c r="A293" s="1"/>
      <c r="B293" s="1"/>
      <c r="C293" s="52"/>
      <c r="D293" s="133"/>
      <c r="E293" s="133"/>
      <c r="F293" s="133"/>
      <c r="G293" s="133"/>
      <c r="H293" s="133"/>
      <c r="I293" s="52"/>
      <c r="J293" s="52"/>
      <c r="K293" s="52"/>
      <c r="L293" s="52"/>
      <c r="M293" s="52"/>
      <c r="N293" s="52"/>
      <c r="O293" s="52"/>
    </row>
    <row r="294" spans="1:15" ht="13.5" customHeight="1">
      <c r="A294" s="1"/>
      <c r="B294" s="1"/>
      <c r="C294" s="52"/>
      <c r="D294" s="133"/>
      <c r="E294" s="133"/>
      <c r="F294" s="133"/>
      <c r="G294" s="133"/>
      <c r="H294" s="133"/>
      <c r="I294" s="52"/>
      <c r="J294" s="52"/>
      <c r="K294" s="52"/>
      <c r="L294" s="52"/>
      <c r="M294" s="52"/>
      <c r="N294" s="52"/>
      <c r="O294" s="52"/>
    </row>
    <row r="295" spans="1:15" ht="13.5" customHeight="1">
      <c r="A295" s="1"/>
      <c r="B295" s="1"/>
      <c r="C295" s="52"/>
      <c r="D295" s="133"/>
      <c r="E295" s="133"/>
      <c r="F295" s="133"/>
      <c r="G295" s="133"/>
      <c r="H295" s="133"/>
      <c r="I295" s="52"/>
      <c r="J295" s="52"/>
      <c r="K295" s="52"/>
      <c r="L295" s="52"/>
      <c r="M295" s="52"/>
      <c r="N295" s="52"/>
      <c r="O295" s="52"/>
    </row>
    <row r="296" spans="1:15" ht="13.5" customHeight="1">
      <c r="A296" s="1"/>
      <c r="B296" s="1"/>
      <c r="C296" s="52"/>
      <c r="D296" s="133"/>
      <c r="E296" s="133"/>
      <c r="F296" s="133"/>
      <c r="G296" s="133"/>
      <c r="H296" s="133"/>
      <c r="I296" s="52"/>
      <c r="J296" s="52"/>
      <c r="K296" s="52"/>
      <c r="L296" s="52"/>
      <c r="M296" s="52"/>
      <c r="N296" s="52"/>
      <c r="O296" s="52"/>
    </row>
    <row r="297" spans="1:15" ht="13.5" customHeight="1">
      <c r="A297" s="1"/>
      <c r="B297" s="1"/>
      <c r="C297" s="52"/>
      <c r="D297" s="133"/>
      <c r="E297" s="133"/>
      <c r="F297" s="133"/>
      <c r="G297" s="133"/>
      <c r="H297" s="133"/>
      <c r="I297" s="52"/>
      <c r="J297" s="52"/>
      <c r="K297" s="52"/>
      <c r="L297" s="52"/>
      <c r="M297" s="52"/>
      <c r="N297" s="52"/>
      <c r="O297" s="52"/>
    </row>
    <row r="298" spans="1:15" ht="13.5" customHeight="1">
      <c r="A298" s="1"/>
      <c r="B298" s="1"/>
      <c r="C298" s="52"/>
      <c r="D298" s="133"/>
      <c r="E298" s="133"/>
      <c r="F298" s="133"/>
      <c r="G298" s="133"/>
      <c r="H298" s="133"/>
      <c r="I298" s="52"/>
      <c r="J298" s="52"/>
      <c r="K298" s="52"/>
      <c r="L298" s="52"/>
      <c r="M298" s="52"/>
      <c r="N298" s="52"/>
      <c r="O298" s="52"/>
    </row>
    <row r="299" spans="1:15" ht="13.5" customHeight="1">
      <c r="A299" s="1"/>
      <c r="B299" s="1"/>
      <c r="C299" s="52"/>
      <c r="D299" s="133"/>
      <c r="E299" s="133"/>
      <c r="F299" s="133"/>
      <c r="G299" s="133"/>
      <c r="H299" s="133"/>
      <c r="I299" s="52"/>
      <c r="J299" s="52"/>
      <c r="K299" s="52"/>
      <c r="L299" s="52"/>
      <c r="M299" s="52"/>
      <c r="N299" s="52"/>
      <c r="O299" s="52"/>
    </row>
    <row r="300" spans="1:15" ht="13.5" customHeight="1">
      <c r="A300" s="1"/>
      <c r="B300" s="1"/>
      <c r="C300" s="52"/>
      <c r="D300" s="133"/>
      <c r="E300" s="133"/>
      <c r="F300" s="133"/>
      <c r="G300" s="133"/>
      <c r="H300" s="133"/>
      <c r="I300" s="52"/>
      <c r="J300" s="52"/>
      <c r="K300" s="52"/>
      <c r="L300" s="52"/>
      <c r="M300" s="52"/>
      <c r="N300" s="52"/>
      <c r="O300" s="52"/>
    </row>
    <row r="301" spans="1:15" ht="13.5" customHeight="1">
      <c r="A301" s="1"/>
      <c r="B301" s="1"/>
      <c r="C301" s="52"/>
      <c r="D301" s="133"/>
      <c r="E301" s="133"/>
      <c r="F301" s="133"/>
      <c r="G301" s="133"/>
      <c r="H301" s="133"/>
      <c r="I301" s="52"/>
      <c r="J301" s="52"/>
      <c r="K301" s="52"/>
      <c r="L301" s="52"/>
      <c r="M301" s="52"/>
      <c r="N301" s="52"/>
      <c r="O301" s="52"/>
    </row>
    <row r="302" spans="1:15" ht="13.5" customHeight="1">
      <c r="A302" s="1"/>
      <c r="B302" s="1"/>
      <c r="C302" s="52"/>
      <c r="D302" s="133"/>
      <c r="E302" s="133"/>
      <c r="F302" s="133"/>
      <c r="G302" s="133"/>
      <c r="H302" s="133"/>
      <c r="I302" s="52"/>
      <c r="J302" s="52"/>
      <c r="K302" s="52"/>
      <c r="L302" s="52"/>
      <c r="M302" s="52"/>
      <c r="N302" s="52"/>
      <c r="O302" s="52"/>
    </row>
    <row r="303" spans="1:15" ht="13.5" customHeight="1">
      <c r="A303" s="1"/>
      <c r="B303" s="1"/>
      <c r="C303" s="52"/>
      <c r="D303" s="133"/>
      <c r="E303" s="133"/>
      <c r="F303" s="133"/>
      <c r="G303" s="133"/>
      <c r="H303" s="133"/>
      <c r="I303" s="52"/>
      <c r="J303" s="52"/>
      <c r="K303" s="52"/>
      <c r="L303" s="52"/>
      <c r="M303" s="52"/>
      <c r="N303" s="52"/>
      <c r="O303" s="52"/>
    </row>
    <row r="304" spans="1:15" ht="13.5" customHeight="1">
      <c r="A304" s="1"/>
      <c r="B304" s="1"/>
      <c r="C304" s="52"/>
      <c r="D304" s="133"/>
      <c r="E304" s="133"/>
      <c r="F304" s="133"/>
      <c r="G304" s="133"/>
      <c r="H304" s="133"/>
      <c r="I304" s="52"/>
      <c r="J304" s="52"/>
      <c r="K304" s="52"/>
      <c r="L304" s="52"/>
      <c r="M304" s="52"/>
      <c r="N304" s="52"/>
      <c r="O304" s="52"/>
    </row>
    <row r="305" spans="1:15" ht="13.5" customHeight="1">
      <c r="A305" s="1"/>
      <c r="B305" s="1"/>
      <c r="C305" s="52"/>
      <c r="D305" s="133"/>
      <c r="E305" s="133"/>
      <c r="F305" s="133"/>
      <c r="G305" s="133"/>
      <c r="H305" s="133"/>
      <c r="I305" s="52"/>
      <c r="J305" s="52"/>
      <c r="K305" s="52"/>
      <c r="L305" s="52"/>
      <c r="M305" s="52"/>
      <c r="N305" s="52"/>
      <c r="O305" s="52"/>
    </row>
    <row r="306" spans="1:15" ht="13.5" customHeight="1">
      <c r="A306" s="1"/>
      <c r="B306" s="1"/>
      <c r="C306" s="52"/>
      <c r="D306" s="133"/>
      <c r="E306" s="133"/>
      <c r="F306" s="133"/>
      <c r="G306" s="133"/>
      <c r="H306" s="133"/>
      <c r="I306" s="52"/>
      <c r="J306" s="52"/>
      <c r="K306" s="52"/>
      <c r="L306" s="52"/>
      <c r="M306" s="52"/>
      <c r="N306" s="52"/>
      <c r="O306" s="52"/>
    </row>
    <row r="307" spans="1:15" ht="13.5" customHeight="1">
      <c r="A307" s="1"/>
      <c r="B307" s="1"/>
      <c r="C307" s="52"/>
      <c r="D307" s="133"/>
      <c r="E307" s="133"/>
      <c r="F307" s="133"/>
      <c r="G307" s="133"/>
      <c r="H307" s="133"/>
      <c r="I307" s="52"/>
      <c r="J307" s="52"/>
      <c r="K307" s="52"/>
      <c r="L307" s="52"/>
      <c r="M307" s="52"/>
      <c r="N307" s="52"/>
      <c r="O307" s="52"/>
    </row>
    <row r="308" spans="1:15" ht="13.5" customHeight="1">
      <c r="A308" s="1"/>
      <c r="B308" s="1"/>
      <c r="C308" s="52"/>
      <c r="D308" s="133"/>
      <c r="E308" s="133"/>
      <c r="F308" s="133"/>
      <c r="G308" s="133"/>
      <c r="H308" s="133"/>
      <c r="I308" s="52"/>
      <c r="J308" s="52"/>
      <c r="K308" s="52"/>
      <c r="L308" s="52"/>
      <c r="M308" s="52"/>
      <c r="N308" s="52"/>
      <c r="O308" s="52"/>
    </row>
    <row r="309" spans="1:15" ht="13.5" customHeight="1">
      <c r="A309" s="1"/>
      <c r="B309" s="1"/>
      <c r="C309" s="52"/>
      <c r="D309" s="133"/>
      <c r="E309" s="133"/>
      <c r="F309" s="133"/>
      <c r="G309" s="133"/>
      <c r="H309" s="133"/>
      <c r="I309" s="52"/>
      <c r="J309" s="52"/>
      <c r="K309" s="52"/>
      <c r="L309" s="52"/>
      <c r="M309" s="52"/>
      <c r="N309" s="52"/>
      <c r="O309" s="52"/>
    </row>
    <row r="310" spans="1:15" ht="13.5" customHeight="1">
      <c r="A310" s="1"/>
      <c r="B310" s="1"/>
      <c r="C310" s="52"/>
      <c r="D310" s="133"/>
      <c r="E310" s="133"/>
      <c r="F310" s="133"/>
      <c r="G310" s="133"/>
      <c r="H310" s="133"/>
      <c r="I310" s="52"/>
      <c r="J310" s="52"/>
      <c r="K310" s="52"/>
      <c r="L310" s="52"/>
      <c r="M310" s="52"/>
      <c r="N310" s="52"/>
      <c r="O310" s="52"/>
    </row>
    <row r="311" spans="1:15" ht="13.5" customHeight="1">
      <c r="A311" s="1"/>
      <c r="B311" s="1"/>
      <c r="C311" s="52"/>
      <c r="D311" s="133"/>
      <c r="E311" s="133"/>
      <c r="F311" s="133"/>
      <c r="G311" s="133"/>
      <c r="H311" s="133"/>
      <c r="I311" s="52"/>
      <c r="J311" s="52"/>
      <c r="K311" s="52"/>
      <c r="L311" s="52"/>
      <c r="M311" s="52"/>
      <c r="N311" s="52"/>
      <c r="O311" s="52"/>
    </row>
    <row r="312" spans="1:15" ht="13.5" customHeight="1">
      <c r="A312" s="1"/>
      <c r="B312" s="1"/>
      <c r="C312" s="52"/>
      <c r="D312" s="133"/>
      <c r="E312" s="133"/>
      <c r="F312" s="133"/>
      <c r="G312" s="133"/>
      <c r="H312" s="133"/>
      <c r="I312" s="52"/>
      <c r="J312" s="52"/>
      <c r="K312" s="52"/>
      <c r="L312" s="52"/>
      <c r="M312" s="52"/>
      <c r="N312" s="52"/>
      <c r="O312" s="52"/>
    </row>
    <row r="313" spans="1:15" ht="13.5" customHeight="1">
      <c r="A313" s="1"/>
      <c r="B313" s="1"/>
      <c r="C313" s="52"/>
      <c r="D313" s="133"/>
      <c r="E313" s="133"/>
      <c r="F313" s="133"/>
      <c r="G313" s="133"/>
      <c r="H313" s="133"/>
      <c r="I313" s="52"/>
      <c r="J313" s="52"/>
      <c r="K313" s="52"/>
      <c r="L313" s="52"/>
      <c r="M313" s="52"/>
      <c r="N313" s="52"/>
      <c r="O313" s="52"/>
    </row>
    <row r="314" spans="1:15" ht="13.5" customHeight="1">
      <c r="A314" s="1"/>
      <c r="B314" s="1"/>
      <c r="C314" s="52"/>
      <c r="D314" s="133"/>
      <c r="E314" s="133"/>
      <c r="F314" s="133"/>
      <c r="G314" s="133"/>
      <c r="H314" s="133"/>
      <c r="I314" s="52"/>
      <c r="J314" s="52"/>
      <c r="K314" s="52"/>
      <c r="L314" s="52"/>
      <c r="M314" s="52"/>
      <c r="N314" s="52"/>
      <c r="O314" s="52"/>
    </row>
    <row r="315" spans="1:15" ht="13.5" customHeight="1">
      <c r="A315" s="1"/>
      <c r="B315" s="1"/>
      <c r="C315" s="52"/>
      <c r="D315" s="133"/>
      <c r="E315" s="133"/>
      <c r="F315" s="133"/>
      <c r="G315" s="133"/>
      <c r="H315" s="133"/>
      <c r="I315" s="52"/>
      <c r="J315" s="52"/>
      <c r="K315" s="52"/>
      <c r="L315" s="52"/>
      <c r="M315" s="52"/>
      <c r="N315" s="52"/>
      <c r="O315" s="52"/>
    </row>
    <row r="316" spans="1:15" ht="13.5" customHeight="1">
      <c r="A316" s="1"/>
      <c r="B316" s="1"/>
      <c r="C316" s="52"/>
      <c r="D316" s="133"/>
      <c r="E316" s="133"/>
      <c r="F316" s="133"/>
      <c r="G316" s="133"/>
      <c r="H316" s="133"/>
      <c r="I316" s="52"/>
      <c r="J316" s="52"/>
      <c r="K316" s="52"/>
      <c r="L316" s="52"/>
      <c r="M316" s="52"/>
      <c r="N316" s="52"/>
      <c r="O316" s="52"/>
    </row>
    <row r="317" spans="1:15" ht="13.5" customHeight="1">
      <c r="A317" s="1"/>
      <c r="B317" s="1"/>
      <c r="C317" s="52"/>
      <c r="D317" s="133"/>
      <c r="E317" s="133"/>
      <c r="F317" s="133"/>
      <c r="G317" s="133"/>
      <c r="H317" s="133"/>
      <c r="I317" s="52"/>
      <c r="J317" s="52"/>
      <c r="K317" s="52"/>
      <c r="L317" s="52"/>
      <c r="M317" s="52"/>
      <c r="N317" s="52"/>
      <c r="O317" s="52"/>
    </row>
    <row r="318" spans="1:15" ht="13.5" customHeight="1">
      <c r="A318" s="1"/>
      <c r="B318" s="1"/>
      <c r="C318" s="52"/>
      <c r="D318" s="133"/>
      <c r="E318" s="133"/>
      <c r="F318" s="133"/>
      <c r="G318" s="133"/>
      <c r="H318" s="133"/>
      <c r="I318" s="52"/>
      <c r="J318" s="52"/>
      <c r="K318" s="52"/>
      <c r="L318" s="52"/>
      <c r="M318" s="52"/>
      <c r="N318" s="52"/>
      <c r="O318" s="52"/>
    </row>
    <row r="319" spans="1:15" ht="13.5" customHeight="1">
      <c r="A319" s="1"/>
      <c r="B319" s="1"/>
      <c r="C319" s="52"/>
      <c r="D319" s="133"/>
      <c r="E319" s="133"/>
      <c r="F319" s="133"/>
      <c r="G319" s="133"/>
      <c r="H319" s="133"/>
      <c r="I319" s="52"/>
      <c r="J319" s="52"/>
      <c r="K319" s="52"/>
      <c r="L319" s="52"/>
      <c r="M319" s="52"/>
      <c r="N319" s="52"/>
      <c r="O319" s="52"/>
    </row>
    <row r="320" spans="1:15" ht="13.5" customHeight="1">
      <c r="A320" s="1"/>
      <c r="B320" s="1"/>
      <c r="C320" s="52"/>
      <c r="D320" s="133"/>
      <c r="E320" s="133"/>
      <c r="F320" s="133"/>
      <c r="G320" s="133"/>
      <c r="H320" s="133"/>
      <c r="I320" s="52"/>
      <c r="J320" s="52"/>
      <c r="K320" s="52"/>
      <c r="L320" s="52"/>
      <c r="M320" s="52"/>
      <c r="N320" s="52"/>
      <c r="O320" s="52"/>
    </row>
    <row r="321" spans="1:15" ht="13.5" customHeight="1">
      <c r="A321" s="1"/>
      <c r="B321" s="1"/>
      <c r="C321" s="52"/>
      <c r="D321" s="133"/>
      <c r="E321" s="133"/>
      <c r="F321" s="133"/>
      <c r="G321" s="133"/>
      <c r="H321" s="133"/>
      <c r="I321" s="52"/>
      <c r="J321" s="52"/>
      <c r="K321" s="52"/>
      <c r="L321" s="52"/>
      <c r="M321" s="52"/>
      <c r="N321" s="52"/>
      <c r="O321" s="52"/>
    </row>
    <row r="322" spans="1:15" ht="13.5" customHeight="1">
      <c r="A322" s="1"/>
      <c r="B322" s="1"/>
      <c r="C322" s="52"/>
      <c r="D322" s="133"/>
      <c r="E322" s="133"/>
      <c r="F322" s="133"/>
      <c r="G322" s="133"/>
      <c r="H322" s="133"/>
      <c r="I322" s="52"/>
      <c r="J322" s="52"/>
      <c r="K322" s="52"/>
      <c r="L322" s="52"/>
      <c r="M322" s="52"/>
      <c r="N322" s="52"/>
      <c r="O322" s="52"/>
    </row>
    <row r="323" spans="1:15" ht="13.5" customHeight="1">
      <c r="A323" s="1"/>
      <c r="B323" s="1"/>
      <c r="C323" s="52"/>
      <c r="D323" s="133"/>
      <c r="E323" s="133"/>
      <c r="F323" s="133"/>
      <c r="G323" s="133"/>
      <c r="H323" s="133"/>
      <c r="I323" s="52"/>
      <c r="J323" s="52"/>
      <c r="K323" s="52"/>
      <c r="L323" s="52"/>
      <c r="M323" s="52"/>
      <c r="N323" s="52"/>
      <c r="O323" s="52"/>
    </row>
    <row r="324" spans="1:15" ht="13.5" customHeight="1">
      <c r="A324" s="1"/>
      <c r="B324" s="1"/>
      <c r="C324" s="52"/>
      <c r="D324" s="133"/>
      <c r="E324" s="133"/>
      <c r="F324" s="133"/>
      <c r="G324" s="133"/>
      <c r="H324" s="133"/>
      <c r="I324" s="52"/>
      <c r="J324" s="52"/>
      <c r="K324" s="52"/>
      <c r="L324" s="52"/>
      <c r="M324" s="52"/>
      <c r="N324" s="52"/>
      <c r="O324" s="52"/>
    </row>
    <row r="325" spans="1:15" ht="13.5" customHeight="1">
      <c r="A325" s="1"/>
      <c r="B325" s="1"/>
      <c r="C325" s="52"/>
      <c r="D325" s="133"/>
      <c r="E325" s="133"/>
      <c r="F325" s="133"/>
      <c r="G325" s="133"/>
      <c r="H325" s="133"/>
      <c r="I325" s="52"/>
      <c r="J325" s="52"/>
      <c r="K325" s="52"/>
      <c r="L325" s="52"/>
      <c r="M325" s="52"/>
      <c r="N325" s="52"/>
      <c r="O325" s="52"/>
    </row>
    <row r="326" spans="1:15" ht="13.5" customHeight="1">
      <c r="A326" s="1"/>
      <c r="B326" s="1"/>
      <c r="C326" s="52"/>
      <c r="D326" s="133"/>
      <c r="E326" s="133"/>
      <c r="F326" s="133"/>
      <c r="G326" s="133"/>
      <c r="H326" s="133"/>
      <c r="I326" s="52"/>
      <c r="J326" s="52"/>
      <c r="K326" s="52"/>
      <c r="L326" s="52"/>
      <c r="M326" s="52"/>
      <c r="N326" s="52"/>
      <c r="O326" s="52"/>
    </row>
    <row r="327" spans="1:15" ht="13.5" customHeight="1">
      <c r="A327" s="1"/>
      <c r="B327" s="1"/>
      <c r="C327" s="52"/>
      <c r="D327" s="133"/>
      <c r="E327" s="133"/>
      <c r="F327" s="133"/>
      <c r="G327" s="133"/>
      <c r="H327" s="133"/>
      <c r="I327" s="52"/>
      <c r="J327" s="52"/>
      <c r="K327" s="52"/>
      <c r="L327" s="52"/>
      <c r="M327" s="52"/>
      <c r="N327" s="52"/>
      <c r="O327" s="52"/>
    </row>
    <row r="328" spans="1:15" ht="15.7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</row>
    <row r="329" spans="1:15" ht="15.7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</row>
    <row r="330" spans="1:15" ht="15.7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</row>
    <row r="331" spans="1:15" ht="15.7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</row>
    <row r="332" spans="1:15" ht="15.7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</row>
    <row r="333" spans="1:15" ht="15.7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</row>
    <row r="334" spans="1:15" ht="15.7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</row>
    <row r="335" spans="1:15" ht="15.7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</row>
    <row r="336" spans="1:15" ht="15.7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H4"/>
    <mergeCell ref="C23:H25"/>
  </mergeCells>
  <pageMargins left="0.70000000000000007" right="0.70000000000000007" top="0.75000000000000011" bottom="0.7500000000000001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Y1000"/>
  <sheetViews>
    <sheetView showGridLines="0" workbookViewId="0">
      <selection activeCell="L25" sqref="L25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21.85546875" customWidth="1"/>
    <col min="4" max="4" width="29.5703125" customWidth="1"/>
    <col min="5" max="5" width="9.140625" customWidth="1"/>
    <col min="6" max="6" width="20.28515625" customWidth="1"/>
    <col min="7" max="7" width="20.5703125" customWidth="1"/>
    <col min="8" max="8" width="19.42578125" customWidth="1"/>
    <col min="9" max="9" width="18.42578125" customWidth="1"/>
    <col min="10" max="10" width="19.7109375" customWidth="1"/>
    <col min="11" max="25" width="12.28515625" customWidth="1"/>
  </cols>
  <sheetData>
    <row r="1" spans="1:25" ht="13.5" customHeight="1">
      <c r="A1" s="219"/>
      <c r="B1" s="220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5" ht="13.5" customHeight="1">
      <c r="A2" s="219"/>
      <c r="B2" s="220"/>
      <c r="C2" s="353" t="s">
        <v>278</v>
      </c>
      <c r="D2" s="346"/>
      <c r="E2" s="346"/>
      <c r="F2" s="346"/>
      <c r="G2" s="346"/>
      <c r="H2" s="346"/>
      <c r="I2" s="346"/>
      <c r="J2" s="346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5" ht="13.5" customHeight="1">
      <c r="A3" s="219"/>
      <c r="B3" s="220"/>
      <c r="C3" s="346"/>
      <c r="D3" s="346"/>
      <c r="E3" s="346"/>
      <c r="F3" s="346"/>
      <c r="G3" s="346"/>
      <c r="H3" s="346"/>
      <c r="I3" s="346"/>
      <c r="J3" s="346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</row>
    <row r="4" spans="1:25" ht="13.5" customHeight="1">
      <c r="A4" s="219"/>
      <c r="B4" s="220"/>
      <c r="C4" s="346"/>
      <c r="D4" s="346"/>
      <c r="E4" s="346"/>
      <c r="F4" s="346"/>
      <c r="G4" s="346"/>
      <c r="H4" s="346"/>
      <c r="I4" s="346"/>
      <c r="J4" s="346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</row>
    <row r="5" spans="1:25" ht="13.5" customHeight="1">
      <c r="A5" s="219"/>
      <c r="B5" s="220"/>
      <c r="C5" s="79"/>
      <c r="D5" s="147"/>
      <c r="E5" s="80"/>
      <c r="F5" s="81">
        <f>OPEX!F5</f>
        <v>2025</v>
      </c>
      <c r="G5" s="81">
        <f>OPEX!G5</f>
        <v>2026</v>
      </c>
      <c r="H5" s="81">
        <f>OPEX!H5</f>
        <v>2027</v>
      </c>
      <c r="I5" s="81">
        <f>OPEX!I5</f>
        <v>2028</v>
      </c>
      <c r="J5" s="81">
        <f>OPEX!J5</f>
        <v>2029</v>
      </c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</row>
    <row r="6" spans="1:25" ht="13.5" customHeight="1">
      <c r="A6" s="219"/>
      <c r="B6" s="220"/>
      <c r="C6" s="1"/>
      <c r="D6" s="1"/>
      <c r="E6" s="1"/>
      <c r="F6" s="82"/>
      <c r="G6" s="82"/>
      <c r="H6" s="82"/>
      <c r="I6" s="82"/>
      <c r="J6" s="82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</row>
    <row r="7" spans="1:25" ht="13.5" customHeight="1">
      <c r="A7" s="219"/>
      <c r="B7" s="220"/>
      <c r="C7" s="110" t="s">
        <v>279</v>
      </c>
      <c r="D7" s="111"/>
      <c r="E7" s="110"/>
      <c r="F7" s="111"/>
      <c r="G7" s="148">
        <f t="shared" ref="G7:J7" si="0">F25</f>
        <v>13494718.557764977</v>
      </c>
      <c r="H7" s="148">
        <f t="shared" si="0"/>
        <v>470787607.11553001</v>
      </c>
      <c r="I7" s="148">
        <f t="shared" si="0"/>
        <v>949665519.09877706</v>
      </c>
      <c r="J7" s="148">
        <f t="shared" si="0"/>
        <v>1450426232.6350243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</row>
    <row r="8" spans="1:25" ht="13.5" customHeight="1">
      <c r="A8" s="219"/>
      <c r="B8" s="220"/>
      <c r="C8" s="110" t="s">
        <v>148</v>
      </c>
      <c r="D8" s="111"/>
      <c r="E8" s="112" t="s">
        <v>280</v>
      </c>
      <c r="F8" s="113"/>
      <c r="G8" s="113"/>
      <c r="H8" s="113"/>
      <c r="I8" s="113"/>
      <c r="J8" s="113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</row>
    <row r="9" spans="1:25" ht="13.5" customHeight="1">
      <c r="A9" s="219"/>
      <c r="B9" s="220"/>
      <c r="C9" s="84"/>
      <c r="D9" s="291" t="s">
        <v>281</v>
      </c>
      <c r="E9" s="85" t="str">
        <f>Hypotheses!$E$13</f>
        <v>XOF</v>
      </c>
      <c r="F9" s="149"/>
      <c r="G9" s="149"/>
      <c r="H9" s="149"/>
      <c r="I9" s="149"/>
      <c r="J9" s="149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25" ht="13.5" customHeight="1">
      <c r="A10" s="219"/>
      <c r="B10" s="220"/>
      <c r="C10" s="84"/>
      <c r="D10" s="150" t="s">
        <v>282</v>
      </c>
      <c r="E10" s="90"/>
      <c r="F10" s="240">
        <f>OPEX!F23</f>
        <v>78475000</v>
      </c>
      <c r="G10" s="240">
        <f>OPEX!G23</f>
        <v>523501250</v>
      </c>
      <c r="H10" s="240">
        <f>OPEX!H23</f>
        <v>545232437.5</v>
      </c>
      <c r="I10" s="240">
        <f>OPEX!I23</f>
        <v>568407063.12500012</v>
      </c>
      <c r="J10" s="240">
        <f>OPEX!J23</f>
        <v>593175913.39374995</v>
      </c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pans="1:25" ht="13.5" customHeight="1">
      <c r="A11" s="219"/>
      <c r="B11" s="220"/>
      <c r="C11" s="84"/>
      <c r="D11" s="150" t="s">
        <v>283</v>
      </c>
      <c r="E11" s="88"/>
      <c r="F11" s="242">
        <f>'TA _Invest'!B2+'TA _Exploitation'!B2</f>
        <v>39300000</v>
      </c>
      <c r="G11" s="242"/>
      <c r="H11" s="242"/>
      <c r="I11" s="242"/>
      <c r="J11" s="242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pans="1:25" ht="13.5" customHeight="1">
      <c r="A12" s="219"/>
      <c r="B12" s="220"/>
      <c r="C12" s="84" t="s">
        <v>213</v>
      </c>
      <c r="D12" s="87" t="s">
        <v>281</v>
      </c>
      <c r="E12" s="88" t="str">
        <f>Hypotheses!$E$13</f>
        <v>XOF</v>
      </c>
      <c r="F12" s="242">
        <f t="shared" ref="F12:J12" si="1">SUM(F10:F11)+F7</f>
        <v>117775000</v>
      </c>
      <c r="G12" s="242">
        <f t="shared" si="1"/>
        <v>536995968.55776501</v>
      </c>
      <c r="H12" s="242">
        <f t="shared" si="1"/>
        <v>1016020044.61553</v>
      </c>
      <c r="I12" s="242">
        <f t="shared" si="1"/>
        <v>1518072582.2237773</v>
      </c>
      <c r="J12" s="242">
        <f t="shared" si="1"/>
        <v>2043602146.0287743</v>
      </c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pans="1:25" ht="13.5" customHeight="1">
      <c r="A13" s="219"/>
      <c r="B13" s="220"/>
      <c r="C13" s="84"/>
      <c r="D13" s="291" t="s">
        <v>284</v>
      </c>
      <c r="E13" s="88" t="str">
        <f>Hypotheses!$E$13</f>
        <v>XOF</v>
      </c>
      <c r="F13" s="151"/>
      <c r="G13" s="151"/>
      <c r="H13" s="151"/>
      <c r="I13" s="151"/>
      <c r="J13" s="151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pans="1:25" ht="13.5" customHeight="1">
      <c r="A14" s="219"/>
      <c r="B14" s="220"/>
      <c r="C14" s="2"/>
      <c r="D14" s="89" t="str">
        <f>OPEX!D25</f>
        <v>Salaires &amp; traitements</v>
      </c>
      <c r="E14" s="85" t="str">
        <f>Hypotheses!$E$13</f>
        <v>XOF</v>
      </c>
      <c r="F14" s="240">
        <f>OPEX!F25</f>
        <v>24000000</v>
      </c>
      <c r="G14" s="240">
        <f>OPEX!G25</f>
        <v>24720000</v>
      </c>
      <c r="H14" s="240">
        <f>OPEX!H25</f>
        <v>25461600</v>
      </c>
      <c r="I14" s="240">
        <f>OPEX!I25</f>
        <v>26225448</v>
      </c>
      <c r="J14" s="240">
        <f>OPEX!J25</f>
        <v>27012211.440000001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pans="1:25" ht="13.5" customHeight="1">
      <c r="A15" s="219"/>
      <c r="B15" s="220"/>
      <c r="C15" s="2"/>
      <c r="D15" s="89" t="str">
        <f>OPEX!D26</f>
        <v>Achat de matière et fourniture liée</v>
      </c>
      <c r="E15" s="85" t="str">
        <f>Hypotheses!$E$13</f>
        <v>XOF</v>
      </c>
      <c r="F15" s="240">
        <f>OPEX!F26</f>
        <v>339600</v>
      </c>
      <c r="G15" s="240">
        <f>OPEX!G26</f>
        <v>340680</v>
      </c>
      <c r="H15" s="240">
        <f>OPEX!H26</f>
        <v>341792.4</v>
      </c>
      <c r="I15" s="240">
        <f>OPEX!I26</f>
        <v>342938.17200000002</v>
      </c>
      <c r="J15" s="240">
        <f>OPEX!J26</f>
        <v>344118.31715999998</v>
      </c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pans="1:25" ht="13.5" customHeight="1">
      <c r="A16" s="219"/>
      <c r="B16" s="220"/>
      <c r="C16" s="2"/>
      <c r="D16" s="89" t="str">
        <f>OPEX!D33</f>
        <v xml:space="preserve">Autres achats </v>
      </c>
      <c r="E16" s="85" t="str">
        <f>Hypotheses!$E$13</f>
        <v>XOF</v>
      </c>
      <c r="F16" s="240">
        <f>OPEX!F33</f>
        <v>27000000</v>
      </c>
      <c r="G16" s="240">
        <f>OPEX!G33</f>
        <v>27420000</v>
      </c>
      <c r="H16" s="240">
        <f>OPEX!H33</f>
        <v>27847200</v>
      </c>
      <c r="I16" s="240">
        <f>OPEX!I33</f>
        <v>28281732</v>
      </c>
      <c r="J16" s="240">
        <f>OPEX!J33</f>
        <v>28723730.52</v>
      </c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pans="1:25" ht="13.5" customHeight="1">
      <c r="A17" s="219"/>
      <c r="B17" s="220"/>
      <c r="C17" s="2"/>
      <c r="D17" s="89" t="str">
        <f>OPEX!D43</f>
        <v>Transport</v>
      </c>
      <c r="E17" s="85" t="str">
        <f>Hypotheses!$E$13</f>
        <v>XOF</v>
      </c>
      <c r="F17" s="240">
        <f>OPEX!F43</f>
        <v>2900000</v>
      </c>
      <c r="G17" s="240">
        <f>OPEX!G43</f>
        <v>2987000</v>
      </c>
      <c r="H17" s="240">
        <f>OPEX!H43</f>
        <v>3076610</v>
      </c>
      <c r="I17" s="240">
        <f>OPEX!I43</f>
        <v>3168908.3</v>
      </c>
      <c r="J17" s="240">
        <f>OPEX!J43</f>
        <v>3263975.5489999996</v>
      </c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pans="1:25" ht="13.5" customHeight="1">
      <c r="A18" s="219"/>
      <c r="B18" s="220"/>
      <c r="C18" s="2"/>
      <c r="D18" s="89" t="str">
        <f>OPEX!D44</f>
        <v>Services Extérieurs</v>
      </c>
      <c r="E18" s="85" t="str">
        <f>Hypotheses!$E$13</f>
        <v>XOF</v>
      </c>
      <c r="F18" s="240">
        <f>OPEX!F44</f>
        <v>0</v>
      </c>
      <c r="G18" s="240">
        <f>OPEX!G44</f>
        <v>0</v>
      </c>
      <c r="H18" s="240">
        <f>OPEX!H44</f>
        <v>0</v>
      </c>
      <c r="I18" s="240">
        <f>OPEX!I44</f>
        <v>0</v>
      </c>
      <c r="J18" s="240">
        <f>OPEX!J44</f>
        <v>0</v>
      </c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pans="1:25" ht="13.5" customHeight="1">
      <c r="A19" s="219"/>
      <c r="B19" s="220"/>
      <c r="C19" s="2"/>
      <c r="D19" s="89" t="str">
        <f>OPEX!D45</f>
        <v>Location</v>
      </c>
      <c r="E19" s="85" t="str">
        <f>Hypotheses!$E$13</f>
        <v>XOF</v>
      </c>
      <c r="F19" s="240">
        <f>OPEX!F45</f>
        <v>0</v>
      </c>
      <c r="G19" s="240">
        <f>OPEX!G45</f>
        <v>0</v>
      </c>
      <c r="H19" s="240">
        <f>OPEX!H45</f>
        <v>0</v>
      </c>
      <c r="I19" s="240">
        <f>OPEX!I45</f>
        <v>0</v>
      </c>
      <c r="J19" s="240">
        <f>OPEX!J45</f>
        <v>0</v>
      </c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pans="1:25" ht="13.5" customHeight="1">
      <c r="A20" s="219"/>
      <c r="B20" s="220"/>
      <c r="C20" s="2"/>
      <c r="D20" s="89" t="str">
        <f>OPEX!D46</f>
        <v>Impôt et Taxes</v>
      </c>
      <c r="E20" s="85" t="str">
        <f>Hypotheses!$E$13</f>
        <v>XOF</v>
      </c>
      <c r="F20" s="240">
        <f>OPEX!F46</f>
        <v>0</v>
      </c>
      <c r="G20" s="240">
        <f>OPEX!G46</f>
        <v>0</v>
      </c>
      <c r="H20" s="240">
        <f>OPEX!H46</f>
        <v>0</v>
      </c>
      <c r="I20" s="240">
        <f>OPEX!I46</f>
        <v>0</v>
      </c>
      <c r="J20" s="240">
        <f>OPEX!J46</f>
        <v>0</v>
      </c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pans="1:25" ht="13.5" customHeight="1">
      <c r="A21" s="219"/>
      <c r="B21" s="220"/>
      <c r="C21" s="2"/>
      <c r="D21" s="89" t="str">
        <f>OPEX!D47</f>
        <v>Autres charges</v>
      </c>
      <c r="E21" s="85" t="str">
        <f>Hypotheses!$E$13</f>
        <v>XOF</v>
      </c>
      <c r="F21" s="240">
        <f>OPEX!F47</f>
        <v>0</v>
      </c>
      <c r="G21" s="240">
        <f>OPEX!G47</f>
        <v>0</v>
      </c>
      <c r="H21" s="240">
        <f>OPEX!H47</f>
        <v>0</v>
      </c>
      <c r="I21" s="240">
        <f>OPEX!I47</f>
        <v>0</v>
      </c>
      <c r="J21" s="240">
        <f>OPEX!J47</f>
        <v>0</v>
      </c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pans="1:25" ht="13.5" customHeight="1">
      <c r="A22" s="219"/>
      <c r="B22" s="220"/>
      <c r="C22" s="84"/>
      <c r="D22" s="89" t="s">
        <v>285</v>
      </c>
      <c r="E22" s="85" t="str">
        <f>Hypotheses!$E$13</f>
        <v>XOF</v>
      </c>
      <c r="F22" s="240">
        <f>Cashflow!F17</f>
        <v>39300000</v>
      </c>
      <c r="G22" s="240">
        <f>Cashflow!G17</f>
        <v>0</v>
      </c>
      <c r="H22" s="240">
        <f>Cashflow!H17</f>
        <v>0</v>
      </c>
      <c r="I22" s="240">
        <f>Cashflow!I17</f>
        <v>0</v>
      </c>
      <c r="J22" s="240">
        <f>Cashflow!J17</f>
        <v>0</v>
      </c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pans="1:25" ht="13.5" customHeight="1">
      <c r="A23" s="219"/>
      <c r="B23" s="220"/>
      <c r="C23" s="2"/>
      <c r="D23" s="89" t="s">
        <v>286</v>
      </c>
      <c r="E23" s="85" t="str">
        <f>Hypotheses!$E$13</f>
        <v>XOF</v>
      </c>
      <c r="F23" s="240">
        <f>'TA _Invest'!J17+'TA _Invest'!J18+'TA _Exploitation'!J17+'TA _Exploitation'!J18</f>
        <v>10740681.442235015</v>
      </c>
      <c r="G23" s="240">
        <f>'TA _Invest'!K17+'TA _Invest'!K18+'TA _Exploitation'!K17+'TA _Exploitation'!K18</f>
        <v>10740681.442235017</v>
      </c>
      <c r="H23" s="240">
        <f>'TA _Invest'!L17+'TA _Invest'!L18+'TA _Exploitation'!L17+'TA _Exploitation'!L18</f>
        <v>9627323.1167529505</v>
      </c>
      <c r="I23" s="240">
        <f>'TA _Invest'!M17+'TA _Invest'!M18+'TA _Exploitation'!M17+'TA _Exploitation'!M18</f>
        <v>9627323.1167529523</v>
      </c>
      <c r="J23" s="240">
        <f>'TA _Invest'!N17+'TA _Invest'!N18+'TA _Exploitation'!N17+'TA _Exploitation'!N18</f>
        <v>9627323.1167529505</v>
      </c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pans="1:25" ht="13.5" customHeight="1">
      <c r="A24" s="219"/>
      <c r="B24" s="220"/>
      <c r="C24" s="84" t="s">
        <v>287</v>
      </c>
      <c r="D24" s="2"/>
      <c r="E24" s="85" t="str">
        <f>Hypotheses!$E$13</f>
        <v>XOF</v>
      </c>
      <c r="F24" s="243">
        <f>SUM(F14:F23)</f>
        <v>104280281.44223502</v>
      </c>
      <c r="G24" s="243">
        <f t="shared" ref="G24:J24" si="2">SUM(G14:G16)+SUM(G17:G23)</f>
        <v>66208361.442235015</v>
      </c>
      <c r="H24" s="243">
        <f t="shared" si="2"/>
        <v>66354525.516752951</v>
      </c>
      <c r="I24" s="243">
        <f t="shared" si="2"/>
        <v>67646349.588752955</v>
      </c>
      <c r="J24" s="243">
        <f t="shared" si="2"/>
        <v>68971358.942912951</v>
      </c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pans="1:25" ht="13.5" customHeight="1">
      <c r="A25" s="219"/>
      <c r="B25" s="220"/>
      <c r="C25" s="110" t="s">
        <v>288</v>
      </c>
      <c r="D25" s="111"/>
      <c r="E25" s="85" t="str">
        <f>Hypotheses!$E$13</f>
        <v>XOF</v>
      </c>
      <c r="F25" s="101">
        <f t="shared" ref="F25:J25" si="3">F12-F24</f>
        <v>13494718.557764977</v>
      </c>
      <c r="G25" s="101">
        <f t="shared" si="3"/>
        <v>470787607.11553001</v>
      </c>
      <c r="H25" s="101">
        <f t="shared" si="3"/>
        <v>949665519.09877706</v>
      </c>
      <c r="I25" s="101">
        <f t="shared" si="3"/>
        <v>1450426232.6350243</v>
      </c>
      <c r="J25" s="101">
        <f t="shared" si="3"/>
        <v>1974630787.0858612</v>
      </c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</row>
    <row r="26" spans="1:25" ht="13.5" customHeight="1">
      <c r="A26" s="219"/>
      <c r="B26" s="220"/>
      <c r="C26" s="1"/>
      <c r="D26" s="1"/>
      <c r="E26" s="1"/>
      <c r="F26" s="1"/>
      <c r="G26" s="1"/>
      <c r="H26" s="1"/>
      <c r="I26" s="1"/>
      <c r="J26" s="1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</row>
    <row r="27" spans="1:25" ht="13.5" customHeight="1">
      <c r="A27" s="219"/>
      <c r="B27" s="220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</row>
    <row r="28" spans="1:25" ht="13.5" customHeight="1">
      <c r="A28" s="219"/>
      <c r="B28" s="220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</row>
    <row r="29" spans="1:25" ht="13.5" customHeight="1">
      <c r="A29" s="219"/>
      <c r="B29" s="220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</row>
    <row r="30" spans="1:25" ht="13.5" customHeight="1">
      <c r="A30" s="219"/>
      <c r="B30" s="220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</row>
    <row r="31" spans="1:25" ht="13.5" customHeight="1">
      <c r="A31" s="219"/>
      <c r="B31" s="220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</row>
    <row r="32" spans="1:25" ht="13.5" customHeight="1">
      <c r="A32" s="219"/>
      <c r="B32" s="220"/>
      <c r="C32" s="1"/>
      <c r="D32" s="1"/>
      <c r="E32" s="1"/>
      <c r="F32" s="1"/>
      <c r="G32" s="1"/>
      <c r="H32" s="1"/>
      <c r="I32" s="1"/>
      <c r="J32" s="1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</row>
    <row r="33" spans="1:25" ht="13.5" customHeight="1">
      <c r="A33" s="219"/>
      <c r="B33" s="220"/>
      <c r="C33" s="1"/>
      <c r="D33" s="1"/>
      <c r="E33" s="1"/>
      <c r="F33" s="1"/>
      <c r="G33" s="1"/>
      <c r="H33" s="1"/>
      <c r="I33" s="1"/>
      <c r="J33" s="1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</row>
    <row r="34" spans="1:25" ht="13.5" customHeight="1">
      <c r="A34" s="219"/>
      <c r="B34" s="220"/>
      <c r="C34" s="1"/>
      <c r="D34" s="1"/>
      <c r="E34" s="1"/>
      <c r="F34" s="1"/>
      <c r="G34" s="1"/>
      <c r="H34" s="1"/>
      <c r="I34" s="1"/>
      <c r="J34" s="1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</row>
    <row r="35" spans="1:25" ht="13.5" customHeight="1">
      <c r="A35" s="219"/>
      <c r="B35" s="220"/>
      <c r="C35" s="92"/>
      <c r="D35" s="92"/>
      <c r="E35" s="92"/>
      <c r="F35" s="92"/>
      <c r="G35" s="92"/>
      <c r="H35" s="92"/>
      <c r="I35" s="92"/>
      <c r="J35" s="92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</row>
    <row r="36" spans="1:25" ht="13.5" customHeight="1">
      <c r="A36" s="219"/>
      <c r="B36" s="220"/>
      <c r="C36" s="92"/>
      <c r="D36" s="92"/>
      <c r="E36" s="92"/>
      <c r="F36" s="92"/>
      <c r="G36" s="92"/>
      <c r="H36" s="92"/>
      <c r="I36" s="92"/>
      <c r="J36" s="92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</row>
    <row r="37" spans="1:25" ht="13.5" customHeight="1">
      <c r="A37" s="219"/>
      <c r="B37" s="220"/>
      <c r="C37" s="1"/>
      <c r="D37" s="1"/>
      <c r="E37" s="1"/>
      <c r="F37" s="1"/>
      <c r="G37" s="1"/>
      <c r="H37" s="1"/>
      <c r="I37" s="1"/>
      <c r="J37" s="1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</row>
    <row r="38" spans="1:25" ht="13.5" customHeight="1">
      <c r="A38" s="227"/>
      <c r="B38" s="228"/>
      <c r="C38" s="1"/>
      <c r="D38" s="1"/>
      <c r="E38" s="1"/>
      <c r="F38" s="1"/>
      <c r="G38" s="1"/>
      <c r="H38" s="1"/>
      <c r="I38" s="1"/>
      <c r="J38" s="1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</row>
    <row r="39" spans="1:25" ht="13.5" customHeight="1">
      <c r="A39" s="227"/>
      <c r="B39" s="228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</row>
    <row r="40" spans="1:25" ht="13.5" customHeight="1">
      <c r="A40" s="227"/>
      <c r="B40" s="228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</row>
    <row r="41" spans="1:25" ht="13.5" customHeight="1">
      <c r="A41" s="227"/>
      <c r="B41" s="228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</row>
    <row r="42" spans="1:25" ht="13.5" customHeight="1">
      <c r="A42" s="227"/>
      <c r="B42" s="228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</row>
    <row r="43" spans="1:25" ht="13.5" customHeight="1">
      <c r="A43" s="227"/>
      <c r="B43" s="228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</row>
    <row r="44" spans="1:25" ht="13.5" customHeight="1">
      <c r="A44" s="227"/>
      <c r="B44" s="228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</row>
    <row r="45" spans="1:25" ht="13.5" customHeight="1">
      <c r="A45" s="227"/>
      <c r="B45" s="228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</row>
    <row r="46" spans="1:25" ht="13.5" customHeight="1">
      <c r="A46" s="227"/>
      <c r="B46" s="228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</row>
    <row r="47" spans="1:25" ht="13.5" customHeight="1">
      <c r="A47" s="227"/>
      <c r="B47" s="228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</row>
    <row r="48" spans="1:25" ht="13.5" customHeight="1">
      <c r="A48" s="227"/>
      <c r="B48" s="228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</row>
    <row r="49" spans="1:25" ht="13.5" customHeight="1">
      <c r="A49" s="227"/>
      <c r="B49" s="228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</row>
    <row r="50" spans="1:25" ht="13.5" customHeight="1">
      <c r="A50" s="227"/>
      <c r="B50" s="228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</row>
    <row r="51" spans="1:25" ht="13.5" customHeight="1">
      <c r="A51" s="227"/>
      <c r="B51" s="228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</row>
    <row r="52" spans="1:25" ht="13.5" customHeight="1">
      <c r="A52" s="227"/>
      <c r="B52" s="228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</row>
    <row r="53" spans="1:25" ht="13.5" customHeight="1">
      <c r="A53" s="227"/>
      <c r="B53" s="228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</row>
    <row r="54" spans="1:25" ht="13.5" customHeight="1">
      <c r="A54" s="227"/>
      <c r="B54" s="228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</row>
    <row r="55" spans="1:25" ht="13.5" customHeight="1">
      <c r="A55" s="227"/>
      <c r="B55" s="228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</row>
    <row r="56" spans="1:25" ht="13.5" customHeight="1">
      <c r="A56" s="227"/>
      <c r="B56" s="228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</row>
    <row r="57" spans="1:25" ht="13.5" customHeight="1">
      <c r="A57" s="227"/>
      <c r="B57" s="228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</row>
    <row r="58" spans="1:25" ht="13.5" customHeight="1">
      <c r="A58" s="227"/>
      <c r="B58" s="228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</row>
    <row r="59" spans="1:25" ht="13.5" customHeight="1">
      <c r="A59" s="227"/>
      <c r="B59" s="228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</row>
    <row r="60" spans="1:25" ht="13.5" customHeight="1">
      <c r="A60" s="227"/>
      <c r="B60" s="228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</row>
    <row r="61" spans="1:25" ht="13.5" customHeight="1">
      <c r="A61" s="227"/>
      <c r="B61" s="228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</row>
    <row r="62" spans="1:25" ht="13.5" customHeight="1">
      <c r="A62" s="227"/>
      <c r="B62" s="228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</row>
    <row r="63" spans="1:25" ht="13.5" customHeight="1">
      <c r="A63" s="227"/>
      <c r="B63" s="228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</row>
    <row r="64" spans="1:25" ht="13.5" customHeight="1">
      <c r="A64" s="227"/>
      <c r="B64" s="228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</row>
    <row r="65" spans="1:25" ht="13.5" customHeight="1">
      <c r="A65" s="227"/>
      <c r="B65" s="228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</row>
    <row r="66" spans="1:25" ht="13.5" customHeight="1">
      <c r="A66" s="227"/>
      <c r="B66" s="228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</row>
    <row r="67" spans="1:25" ht="13.5" customHeight="1">
      <c r="A67" s="227"/>
      <c r="B67" s="228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</row>
    <row r="68" spans="1:25" ht="13.5" customHeight="1">
      <c r="A68" s="227"/>
      <c r="B68" s="228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</row>
    <row r="69" spans="1:25" ht="13.5" customHeight="1">
      <c r="A69" s="227"/>
      <c r="B69" s="228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</row>
    <row r="70" spans="1:25" ht="13.5" customHeight="1">
      <c r="A70" s="227"/>
      <c r="B70" s="228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</row>
    <row r="71" spans="1:25" ht="13.5" customHeight="1">
      <c r="A71" s="227"/>
      <c r="B71" s="228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</row>
    <row r="72" spans="1:25" ht="13.5" customHeight="1">
      <c r="A72" s="227"/>
      <c r="B72" s="228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</row>
    <row r="73" spans="1:25" ht="13.5" customHeight="1">
      <c r="A73" s="227"/>
      <c r="B73" s="228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</row>
    <row r="74" spans="1:25" ht="13.5" customHeight="1">
      <c r="A74" s="227"/>
      <c r="B74" s="228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</row>
    <row r="75" spans="1:25" ht="13.5" customHeight="1">
      <c r="A75" s="227"/>
      <c r="B75" s="228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</row>
    <row r="76" spans="1:25" ht="13.5" customHeight="1">
      <c r="A76" s="227"/>
      <c r="B76" s="228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</row>
    <row r="77" spans="1:25" ht="13.5" customHeight="1">
      <c r="A77" s="227"/>
      <c r="B77" s="228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</row>
    <row r="78" spans="1:25" ht="13.5" customHeight="1">
      <c r="A78" s="227"/>
      <c r="B78" s="228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</row>
    <row r="79" spans="1:25" ht="13.5" customHeight="1">
      <c r="A79" s="227"/>
      <c r="B79" s="228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</row>
    <row r="80" spans="1:25" ht="13.5" customHeight="1">
      <c r="A80" s="227"/>
      <c r="B80" s="228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</row>
    <row r="81" spans="1:25" ht="13.5" customHeight="1">
      <c r="A81" s="227"/>
      <c r="B81" s="228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</row>
    <row r="82" spans="1:25" ht="13.5" customHeight="1">
      <c r="A82" s="227"/>
      <c r="B82" s="228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</row>
    <row r="83" spans="1:25" ht="13.5" customHeight="1">
      <c r="A83" s="227"/>
      <c r="B83" s="228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</row>
    <row r="84" spans="1:25" ht="13.5" customHeight="1">
      <c r="A84" s="227"/>
      <c r="B84" s="228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</row>
    <row r="85" spans="1:25" ht="13.5" customHeight="1">
      <c r="A85" s="227"/>
      <c r="B85" s="228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</row>
    <row r="86" spans="1:25" ht="13.5" customHeight="1">
      <c r="A86" s="227"/>
      <c r="B86" s="228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</row>
    <row r="87" spans="1:25" ht="13.5" customHeight="1">
      <c r="A87" s="227"/>
      <c r="B87" s="228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</row>
    <row r="88" spans="1:25" ht="13.5" customHeight="1">
      <c r="A88" s="227"/>
      <c r="B88" s="228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</row>
    <row r="89" spans="1:25" ht="13.5" customHeight="1">
      <c r="A89" s="227"/>
      <c r="B89" s="228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</row>
    <row r="90" spans="1:25" ht="13.5" customHeight="1">
      <c r="A90" s="227"/>
      <c r="B90" s="228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</row>
    <row r="91" spans="1:25" ht="13.5" customHeight="1">
      <c r="A91" s="227"/>
      <c r="B91" s="228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</row>
    <row r="92" spans="1:25" ht="13.5" customHeight="1">
      <c r="A92" s="227"/>
      <c r="B92" s="228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</row>
    <row r="93" spans="1:25" ht="13.5" customHeight="1">
      <c r="A93" s="227"/>
      <c r="B93" s="228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</row>
    <row r="94" spans="1:25" ht="13.5" customHeight="1">
      <c r="A94" s="227"/>
      <c r="B94" s="228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</row>
    <row r="95" spans="1:25" ht="13.5" customHeight="1">
      <c r="A95" s="227"/>
      <c r="B95" s="228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</row>
    <row r="96" spans="1:25" ht="13.5" customHeight="1">
      <c r="A96" s="227"/>
      <c r="B96" s="228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</row>
    <row r="97" spans="1:25" ht="13.5" customHeight="1">
      <c r="A97" s="227"/>
      <c r="B97" s="228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</row>
    <row r="98" spans="1:25" ht="13.5" customHeight="1">
      <c r="A98" s="227"/>
      <c r="B98" s="228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</row>
    <row r="99" spans="1:25" ht="13.5" customHeight="1">
      <c r="A99" s="227"/>
      <c r="B99" s="228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</row>
    <row r="100" spans="1:25" ht="13.5" customHeight="1">
      <c r="A100" s="227"/>
      <c r="B100" s="228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</row>
    <row r="101" spans="1:25" ht="13.5" customHeight="1">
      <c r="A101" s="227"/>
      <c r="B101" s="228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</row>
    <row r="102" spans="1:25" ht="13.5" customHeight="1">
      <c r="A102" s="227"/>
      <c r="B102" s="228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</row>
    <row r="103" spans="1:25" ht="13.5" customHeight="1">
      <c r="A103" s="227"/>
      <c r="B103" s="228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</row>
    <row r="104" spans="1:25" ht="13.5" customHeight="1">
      <c r="A104" s="227"/>
      <c r="B104" s="228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</row>
    <row r="105" spans="1:25" ht="13.5" customHeight="1">
      <c r="A105" s="227"/>
      <c r="B105" s="228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</row>
    <row r="106" spans="1:25" ht="13.5" customHeight="1">
      <c r="A106" s="227"/>
      <c r="B106" s="228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</row>
    <row r="107" spans="1:25" ht="13.5" customHeight="1">
      <c r="A107" s="227"/>
      <c r="B107" s="228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</row>
    <row r="108" spans="1:25" ht="13.5" customHeight="1">
      <c r="A108" s="227"/>
      <c r="B108" s="228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</row>
    <row r="109" spans="1:25" ht="13.5" customHeight="1">
      <c r="A109" s="227"/>
      <c r="B109" s="228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</row>
    <row r="110" spans="1:25" ht="13.5" customHeight="1">
      <c r="A110" s="227"/>
      <c r="B110" s="228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</row>
    <row r="111" spans="1:25" ht="13.5" customHeight="1">
      <c r="A111" s="227"/>
      <c r="B111" s="228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</row>
    <row r="112" spans="1:25" ht="13.5" customHeight="1">
      <c r="A112" s="227"/>
      <c r="B112" s="228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</row>
    <row r="113" spans="1:25" ht="13.5" customHeight="1">
      <c r="A113" s="227"/>
      <c r="B113" s="228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</row>
    <row r="114" spans="1:25" ht="13.5" customHeight="1">
      <c r="A114" s="227"/>
      <c r="B114" s="228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</row>
    <row r="115" spans="1:25" ht="13.5" customHeight="1">
      <c r="A115" s="227"/>
      <c r="B115" s="228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</row>
    <row r="116" spans="1:25" ht="13.5" customHeight="1">
      <c r="A116" s="227"/>
      <c r="B116" s="228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</row>
    <row r="117" spans="1:25" ht="13.5" customHeight="1">
      <c r="A117" s="1"/>
      <c r="B117" s="1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</row>
    <row r="118" spans="1:25" ht="13.5" customHeight="1">
      <c r="A118" s="1"/>
      <c r="B118" s="1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</row>
    <row r="119" spans="1:25" ht="13.5" customHeight="1">
      <c r="A119" s="1"/>
      <c r="B119" s="1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</row>
    <row r="120" spans="1:25" ht="13.5" customHeight="1">
      <c r="A120" s="1"/>
      <c r="B120" s="1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</row>
    <row r="121" spans="1:25" ht="13.5" customHeight="1">
      <c r="A121" s="1"/>
      <c r="B121" s="1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</row>
    <row r="122" spans="1:25" ht="13.5" customHeight="1">
      <c r="A122" s="1"/>
      <c r="B122" s="1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</row>
    <row r="123" spans="1:25" ht="13.5" customHeight="1">
      <c r="A123" s="1"/>
      <c r="B123" s="1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</row>
    <row r="124" spans="1:25" ht="13.5" customHeight="1">
      <c r="A124" s="1"/>
      <c r="B124" s="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</row>
    <row r="125" spans="1:25" ht="13.5" customHeight="1">
      <c r="A125" s="1"/>
      <c r="B125" s="1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</row>
    <row r="126" spans="1:25" ht="13.5" customHeight="1">
      <c r="A126" s="1"/>
      <c r="B126" s="1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</row>
    <row r="127" spans="1:25" ht="13.5" customHeight="1">
      <c r="A127" s="1"/>
      <c r="B127" s="1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</row>
    <row r="128" spans="1:25" ht="13.5" customHeight="1">
      <c r="A128" s="1"/>
      <c r="B128" s="1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</row>
    <row r="129" spans="1:25" ht="13.5" customHeight="1">
      <c r="A129" s="1"/>
      <c r="B129" s="1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</row>
    <row r="130" spans="1:25" ht="13.5" customHeight="1">
      <c r="A130" s="1"/>
      <c r="B130" s="1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</row>
    <row r="131" spans="1:25" ht="13.5" customHeight="1">
      <c r="A131" s="1"/>
      <c r="B131" s="1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</row>
    <row r="132" spans="1:25" ht="13.5" customHeight="1">
      <c r="A132" s="1"/>
      <c r="B132" s="1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</row>
    <row r="133" spans="1:25" ht="13.5" customHeight="1">
      <c r="A133" s="1"/>
      <c r="B133" s="1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</row>
    <row r="134" spans="1:25" ht="13.5" customHeight="1">
      <c r="A134" s="1"/>
      <c r="B134" s="1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</row>
    <row r="135" spans="1:25" ht="13.5" customHeight="1">
      <c r="A135" s="1"/>
      <c r="B135" s="1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</row>
    <row r="136" spans="1:25" ht="13.5" customHeight="1">
      <c r="A136" s="1"/>
      <c r="B136" s="1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</row>
    <row r="137" spans="1:25" ht="13.5" customHeight="1">
      <c r="A137" s="1"/>
      <c r="B137" s="1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</row>
    <row r="138" spans="1:25" ht="13.5" customHeight="1">
      <c r="A138" s="1"/>
      <c r="B138" s="1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</row>
    <row r="139" spans="1:25" ht="13.5" customHeight="1">
      <c r="A139" s="1"/>
      <c r="B139" s="1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</row>
    <row r="140" spans="1:25" ht="13.5" customHeight="1">
      <c r="A140" s="1"/>
      <c r="B140" s="1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</row>
    <row r="141" spans="1:25" ht="13.5" customHeight="1">
      <c r="A141" s="1"/>
      <c r="B141" s="1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</row>
    <row r="142" spans="1:25" ht="13.5" customHeight="1">
      <c r="A142" s="1"/>
      <c r="B142" s="1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</row>
    <row r="143" spans="1:25" ht="13.5" customHeight="1">
      <c r="A143" s="1"/>
      <c r="B143" s="1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</row>
    <row r="144" spans="1:25" ht="13.5" customHeight="1">
      <c r="A144" s="1"/>
      <c r="B144" s="1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</row>
    <row r="145" spans="1:25" ht="13.5" customHeight="1">
      <c r="A145" s="1"/>
      <c r="B145" s="1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</row>
    <row r="146" spans="1:25" ht="13.5" customHeight="1">
      <c r="A146" s="1"/>
      <c r="B146" s="1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</row>
    <row r="147" spans="1:25" ht="13.5" customHeight="1">
      <c r="A147" s="1"/>
      <c r="B147" s="1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</row>
    <row r="148" spans="1:25" ht="13.5" customHeight="1">
      <c r="A148" s="1"/>
      <c r="B148" s="1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</row>
    <row r="149" spans="1:25" ht="13.5" customHeight="1">
      <c r="A149" s="1"/>
      <c r="B149" s="1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</row>
    <row r="150" spans="1:25" ht="13.5" customHeight="1">
      <c r="A150" s="1"/>
      <c r="B150" s="1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</row>
    <row r="151" spans="1:25" ht="13.5" customHeight="1">
      <c r="A151" s="1"/>
      <c r="B151" s="1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</row>
    <row r="152" spans="1:25" ht="13.5" customHeight="1">
      <c r="A152" s="1"/>
      <c r="B152" s="1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</row>
    <row r="153" spans="1:25" ht="13.5" customHeight="1">
      <c r="A153" s="1"/>
      <c r="B153" s="1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</row>
    <row r="154" spans="1:25" ht="13.5" customHeight="1">
      <c r="A154" s="1"/>
      <c r="B154" s="1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</row>
    <row r="155" spans="1:25" ht="13.5" customHeight="1">
      <c r="A155" s="1"/>
      <c r="B155" s="1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</row>
    <row r="156" spans="1:25" ht="13.5" customHeight="1">
      <c r="A156" s="1"/>
      <c r="B156" s="1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</row>
    <row r="157" spans="1:25" ht="13.5" customHeight="1">
      <c r="A157" s="1"/>
      <c r="B157" s="1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</row>
    <row r="158" spans="1:25" ht="13.5" customHeight="1">
      <c r="A158" s="1"/>
      <c r="B158" s="1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</row>
    <row r="159" spans="1:25" ht="13.5" customHeight="1">
      <c r="A159" s="1"/>
      <c r="B159" s="1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</row>
    <row r="160" spans="1:25" ht="13.5" customHeight="1">
      <c r="A160" s="1"/>
      <c r="B160" s="1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</row>
    <row r="161" spans="1:25" ht="13.5" customHeight="1">
      <c r="A161" s="1"/>
      <c r="B161" s="1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</row>
    <row r="162" spans="1:25" ht="13.5" customHeight="1">
      <c r="A162" s="1"/>
      <c r="B162" s="1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</row>
    <row r="163" spans="1:25" ht="13.5" customHeight="1">
      <c r="A163" s="1"/>
      <c r="B163" s="1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</row>
    <row r="164" spans="1:25" ht="13.5" customHeight="1">
      <c r="A164" s="1"/>
      <c r="B164" s="1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</row>
    <row r="165" spans="1:25" ht="13.5" customHeight="1">
      <c r="A165" s="1"/>
      <c r="B165" s="1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</row>
    <row r="166" spans="1:25" ht="13.5" customHeight="1">
      <c r="A166" s="1"/>
      <c r="B166" s="1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</row>
    <row r="167" spans="1:25" ht="13.5" customHeight="1">
      <c r="A167" s="1"/>
      <c r="B167" s="1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</row>
    <row r="168" spans="1:25" ht="13.5" customHeight="1">
      <c r="A168" s="1"/>
      <c r="B168" s="1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</row>
    <row r="169" spans="1:25" ht="13.5" customHeight="1">
      <c r="A169" s="1"/>
      <c r="B169" s="1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</row>
    <row r="170" spans="1:25" ht="13.5" customHeight="1">
      <c r="A170" s="1"/>
      <c r="B170" s="1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</row>
    <row r="171" spans="1:25" ht="13.5" customHeight="1">
      <c r="A171" s="1"/>
      <c r="B171" s="1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</row>
    <row r="172" spans="1:25" ht="13.5" customHeight="1">
      <c r="A172" s="1"/>
      <c r="B172" s="1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</row>
    <row r="173" spans="1:25" ht="13.5" customHeight="1">
      <c r="A173" s="1"/>
      <c r="B173" s="1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</row>
    <row r="174" spans="1:25" ht="13.5" customHeight="1">
      <c r="A174" s="1"/>
      <c r="B174" s="1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</row>
    <row r="175" spans="1:25" ht="13.5" customHeight="1">
      <c r="A175" s="1"/>
      <c r="B175" s="1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</row>
    <row r="176" spans="1:25" ht="13.5" customHeight="1">
      <c r="A176" s="1"/>
      <c r="B176" s="1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</row>
    <row r="177" spans="1:25" ht="13.5" customHeight="1">
      <c r="A177" s="1"/>
      <c r="B177" s="1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</row>
    <row r="178" spans="1:25" ht="13.5" customHeight="1">
      <c r="A178" s="1"/>
      <c r="B178" s="1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</row>
    <row r="179" spans="1:25" ht="13.5" customHeight="1">
      <c r="A179" s="1"/>
      <c r="B179" s="1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</row>
    <row r="180" spans="1:25" ht="13.5" customHeight="1">
      <c r="A180" s="1"/>
      <c r="B180" s="1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</row>
    <row r="181" spans="1:25" ht="13.5" customHeight="1">
      <c r="A181" s="1"/>
      <c r="B181" s="1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</row>
    <row r="182" spans="1:25" ht="13.5" customHeight="1">
      <c r="A182" s="1"/>
      <c r="B182" s="1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</row>
    <row r="183" spans="1:25" ht="13.5" customHeight="1">
      <c r="A183" s="1"/>
      <c r="B183" s="1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</row>
    <row r="184" spans="1:25" ht="13.5" customHeight="1">
      <c r="A184" s="1"/>
      <c r="B184" s="1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</row>
    <row r="185" spans="1:25" ht="13.5" customHeight="1">
      <c r="A185" s="1"/>
      <c r="B185" s="1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</row>
    <row r="186" spans="1:25" ht="13.5" customHeight="1">
      <c r="A186" s="1"/>
      <c r="B186" s="1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</row>
    <row r="187" spans="1:25" ht="13.5" customHeight="1">
      <c r="A187" s="1"/>
      <c r="B187" s="1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</row>
    <row r="188" spans="1:25" ht="13.5" customHeight="1">
      <c r="A188" s="1"/>
      <c r="B188" s="1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</row>
    <row r="189" spans="1:25" ht="13.5" customHeight="1">
      <c r="A189" s="1"/>
      <c r="B189" s="1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</row>
    <row r="190" spans="1:25" ht="13.5" customHeight="1">
      <c r="A190" s="1"/>
      <c r="B190" s="1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</row>
    <row r="191" spans="1:25" ht="13.5" customHeight="1">
      <c r="A191" s="1"/>
      <c r="B191" s="1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</row>
    <row r="192" spans="1:25" ht="13.5" customHeight="1">
      <c r="A192" s="1"/>
      <c r="B192" s="1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</row>
    <row r="193" spans="1:25" ht="13.5" customHeight="1">
      <c r="A193" s="1"/>
      <c r="B193" s="1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</row>
    <row r="194" spans="1:25" ht="13.5" customHeight="1">
      <c r="A194" s="1"/>
      <c r="B194" s="1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</row>
    <row r="195" spans="1:25" ht="13.5" customHeight="1">
      <c r="A195" s="1"/>
      <c r="B195" s="1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</row>
    <row r="196" spans="1:25" ht="13.5" customHeight="1">
      <c r="A196" s="1"/>
      <c r="B196" s="1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</row>
    <row r="197" spans="1:25" ht="13.5" customHeight="1">
      <c r="A197" s="1"/>
      <c r="B197" s="1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</row>
    <row r="198" spans="1:25" ht="13.5" customHeight="1">
      <c r="A198" s="1"/>
      <c r="B198" s="1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</row>
    <row r="199" spans="1:25" ht="13.5" customHeight="1">
      <c r="A199" s="1"/>
      <c r="B199" s="1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</row>
    <row r="200" spans="1:25" ht="13.5" customHeight="1">
      <c r="A200" s="1"/>
      <c r="B200" s="1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</row>
    <row r="201" spans="1:25" ht="13.5" customHeight="1">
      <c r="A201" s="1"/>
      <c r="B201" s="1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</row>
    <row r="202" spans="1:25" ht="13.5" customHeight="1">
      <c r="A202" s="1"/>
      <c r="B202" s="1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</row>
    <row r="203" spans="1:25" ht="13.5" customHeight="1">
      <c r="A203" s="1"/>
      <c r="B203" s="1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</row>
    <row r="204" spans="1:25" ht="13.5" customHeight="1">
      <c r="A204" s="1"/>
      <c r="B204" s="1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</row>
    <row r="205" spans="1:25" ht="13.5" customHeight="1">
      <c r="A205" s="1"/>
      <c r="B205" s="1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</row>
    <row r="206" spans="1:25" ht="13.5" customHeight="1">
      <c r="A206" s="1"/>
      <c r="B206" s="1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</row>
    <row r="207" spans="1:25" ht="13.5" customHeight="1">
      <c r="A207" s="1"/>
      <c r="B207" s="1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</row>
    <row r="208" spans="1:25" ht="13.5" customHeight="1">
      <c r="A208" s="1"/>
      <c r="B208" s="1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</row>
    <row r="209" spans="1:25" ht="13.5" customHeight="1">
      <c r="A209" s="1"/>
      <c r="B209" s="1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</row>
    <row r="210" spans="1:25" ht="13.5" customHeight="1">
      <c r="A210" s="1"/>
      <c r="B210" s="1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</row>
    <row r="211" spans="1:25" ht="13.5" customHeight="1">
      <c r="A211" s="1"/>
      <c r="B211" s="1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</row>
    <row r="212" spans="1:25" ht="13.5" customHeight="1">
      <c r="A212" s="1"/>
      <c r="B212" s="1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</row>
    <row r="213" spans="1:25" ht="13.5" customHeight="1">
      <c r="A213" s="1"/>
      <c r="B213" s="1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</row>
    <row r="214" spans="1:25" ht="13.5" customHeight="1">
      <c r="A214" s="1"/>
      <c r="B214" s="1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</row>
    <row r="215" spans="1:25" ht="13.5" customHeight="1">
      <c r="A215" s="1"/>
      <c r="B215" s="1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</row>
    <row r="216" spans="1:25" ht="13.5" customHeight="1">
      <c r="A216" s="1"/>
      <c r="B216" s="1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</row>
    <row r="217" spans="1:25" ht="13.5" customHeight="1">
      <c r="A217" s="1"/>
      <c r="B217" s="1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</row>
    <row r="218" spans="1:25" ht="13.5" customHeight="1">
      <c r="A218" s="1"/>
      <c r="B218" s="1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</row>
    <row r="219" spans="1:25" ht="13.5" customHeight="1">
      <c r="A219" s="1"/>
      <c r="B219" s="1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</row>
    <row r="220" spans="1:25" ht="13.5" customHeight="1">
      <c r="A220" s="1"/>
      <c r="B220" s="1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</row>
    <row r="221" spans="1:25" ht="13.5" customHeight="1">
      <c r="A221" s="1"/>
      <c r="B221" s="1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</row>
    <row r="222" spans="1:25" ht="13.5" customHeight="1">
      <c r="A222" s="1"/>
      <c r="B222" s="1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</row>
    <row r="223" spans="1:25" ht="13.5" customHeight="1">
      <c r="A223" s="1"/>
      <c r="B223" s="1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</row>
    <row r="224" spans="1:25" ht="13.5" customHeight="1">
      <c r="A224" s="1"/>
      <c r="B224" s="1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</row>
    <row r="225" spans="1:25" ht="13.5" customHeight="1">
      <c r="A225" s="1"/>
      <c r="B225" s="1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</row>
    <row r="226" spans="1:25" ht="15.7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</row>
    <row r="227" spans="1:25" ht="15.7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</row>
    <row r="228" spans="1:25" ht="15.7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</row>
    <row r="229" spans="1:25" ht="15.7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</row>
    <row r="230" spans="1:25" ht="15.7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</row>
    <row r="231" spans="1:25" ht="15.7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</row>
    <row r="232" spans="1:25" ht="15.7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</row>
    <row r="233" spans="1:25" ht="15.7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</row>
    <row r="234" spans="1:25" ht="15.7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</row>
    <row r="235" spans="1:25" ht="15.7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</row>
    <row r="236" spans="1:25" ht="15.7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</row>
    <row r="237" spans="1:25" ht="15.7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</row>
    <row r="238" spans="1:25" ht="15.7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</row>
    <row r="239" spans="1:25" ht="15.7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</row>
    <row r="240" spans="1:25" ht="15.7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J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  <pageSetUpPr fitToPage="1"/>
  </sheetPr>
  <dimension ref="A1:Y1000"/>
  <sheetViews>
    <sheetView showGridLines="0" workbookViewId="0">
      <pane xSplit="2" ySplit="5" topLeftCell="C6" activePane="bottomRight" state="frozen"/>
      <selection pane="bottomRight" activeCell="M17" sqref="M17"/>
      <selection pane="bottomLeft" activeCell="A6" sqref="A6"/>
      <selection pane="topRight" activeCell="C1" sqref="C1"/>
    </sheetView>
  </sheetViews>
  <sheetFormatPr defaultColWidth="14.42578125" defaultRowHeight="15" customHeight="1"/>
  <cols>
    <col min="1" max="1" width="3.28515625" customWidth="1"/>
    <col min="2" max="2" width="2.140625" customWidth="1"/>
    <col min="3" max="3" width="3.5703125" customWidth="1"/>
    <col min="4" max="4" width="42.42578125" customWidth="1"/>
    <col min="5" max="5" width="5" customWidth="1"/>
    <col min="6" max="6" width="18.140625" customWidth="1"/>
    <col min="7" max="7" width="17.5703125" customWidth="1"/>
    <col min="8" max="10" width="18.140625" customWidth="1"/>
    <col min="11" max="13" width="9.140625" customWidth="1"/>
    <col min="14" max="19" width="10.5703125" customWidth="1"/>
    <col min="20" max="25" width="14.5703125" customWidth="1"/>
  </cols>
  <sheetData>
    <row r="1" spans="1:25" ht="3" customHeight="1">
      <c r="A1" s="219"/>
      <c r="B1" s="220"/>
      <c r="C1" s="33"/>
      <c r="D1" s="33"/>
      <c r="E1" s="33"/>
      <c r="F1" s="65"/>
      <c r="G1" s="65"/>
      <c r="H1" s="65"/>
      <c r="I1" s="65"/>
      <c r="J1" s="65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17.25" customHeight="1">
      <c r="A2" s="219"/>
      <c r="B2" s="220"/>
      <c r="C2" s="353" t="s">
        <v>289</v>
      </c>
      <c r="D2" s="346"/>
      <c r="E2" s="346"/>
      <c r="F2" s="152"/>
      <c r="G2" s="152"/>
      <c r="H2" s="152"/>
      <c r="I2" s="152"/>
      <c r="J2" s="15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ht="17.25" customHeight="1">
      <c r="A3" s="219"/>
      <c r="B3" s="220"/>
      <c r="C3" s="346"/>
      <c r="D3" s="346"/>
      <c r="E3" s="346"/>
      <c r="F3" s="65"/>
      <c r="G3" s="65"/>
      <c r="H3" s="65"/>
      <c r="I3" s="65"/>
      <c r="J3" s="65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7.25" customHeight="1">
      <c r="A4" s="219"/>
      <c r="B4" s="220"/>
      <c r="C4" s="346"/>
      <c r="D4" s="346"/>
      <c r="E4" s="346"/>
      <c r="F4" s="153"/>
      <c r="G4" s="153"/>
      <c r="H4" s="153"/>
      <c r="I4" s="153"/>
      <c r="J4" s="15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5" ht="17.25" customHeight="1">
      <c r="A5" s="219"/>
      <c r="B5" s="220"/>
      <c r="C5" s="154" t="s">
        <v>290</v>
      </c>
      <c r="D5" s="66" t="s">
        <v>19</v>
      </c>
      <c r="E5" s="155" t="s">
        <v>97</v>
      </c>
      <c r="F5" s="156">
        <f>Hypotheses!G5</f>
        <v>2025</v>
      </c>
      <c r="G5" s="157">
        <f>Hypotheses!H5</f>
        <v>2026</v>
      </c>
      <c r="H5" s="157">
        <f>Hypotheses!I5</f>
        <v>2027</v>
      </c>
      <c r="I5" s="157">
        <f>Hypotheses!J5</f>
        <v>2028</v>
      </c>
      <c r="J5" s="157">
        <f>Hypotheses!K5</f>
        <v>2029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spans="1:25" ht="17.25" customHeight="1">
      <c r="A6" s="219"/>
      <c r="B6" s="220"/>
      <c r="C6" s="33"/>
      <c r="D6" s="33"/>
      <c r="E6" s="33"/>
      <c r="F6" s="158"/>
      <c r="G6" s="158"/>
      <c r="H6" s="158"/>
      <c r="I6" s="158"/>
      <c r="J6" s="158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spans="1:25" ht="17.25" customHeight="1">
      <c r="A7" s="219"/>
      <c r="B7" s="220"/>
      <c r="C7" s="58" t="s">
        <v>291</v>
      </c>
      <c r="D7" s="59"/>
      <c r="E7" s="60"/>
      <c r="F7" s="83"/>
      <c r="G7" s="83"/>
      <c r="H7" s="83"/>
      <c r="I7" s="83"/>
      <c r="J7" s="8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7.25" customHeight="1">
      <c r="A8" s="219"/>
      <c r="B8" s="220"/>
      <c r="C8" s="159"/>
      <c r="D8" s="160" t="s">
        <v>292</v>
      </c>
      <c r="E8" s="161" t="str">
        <f>Hypotheses!$E$13</f>
        <v>XOF</v>
      </c>
      <c r="F8" s="292">
        <f>OPEX!F56</f>
        <v>9699725.3334201183</v>
      </c>
      <c r="G8" s="292">
        <f>OPEX!G56</f>
        <v>320473601.89130688</v>
      </c>
      <c r="H8" s="292">
        <f>OPEX!H56</f>
        <v>334852268.31264687</v>
      </c>
      <c r="I8" s="292">
        <f>OPEX!I56</f>
        <v>350134813.01726717</v>
      </c>
      <c r="J8" s="292">
        <f>OPEX!J56</f>
        <v>366463045.1445092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7.25" customHeight="1">
      <c r="A9" s="219"/>
      <c r="B9" s="220"/>
      <c r="C9" s="159"/>
      <c r="D9" s="160" t="s">
        <v>293</v>
      </c>
      <c r="E9" s="161" t="str">
        <f>Hypotheses!$E$13</f>
        <v>XOF</v>
      </c>
      <c r="F9" s="292">
        <f>OPEX!G49</f>
        <v>4230000</v>
      </c>
      <c r="G9" s="292">
        <f>OPEX!H49</f>
        <v>4230000</v>
      </c>
      <c r="H9" s="292">
        <f>OPEX!I49</f>
        <v>4230000</v>
      </c>
      <c r="I9" s="292">
        <f>OPEX!J49</f>
        <v>4230000</v>
      </c>
      <c r="J9" s="292">
        <f>OPEX!K49</f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7.25" customHeight="1">
      <c r="A10" s="219"/>
      <c r="B10" s="220"/>
      <c r="C10" s="162"/>
      <c r="D10" s="163" t="s">
        <v>294</v>
      </c>
      <c r="E10" s="163" t="str">
        <f>Hypotheses!$E$13</f>
        <v>XOF</v>
      </c>
      <c r="F10" s="164">
        <f t="shared" ref="F10:J10" si="0">SUM(F8:F9)</f>
        <v>13929725.333420118</v>
      </c>
      <c r="G10" s="164">
        <f t="shared" si="0"/>
        <v>324703601.89130688</v>
      </c>
      <c r="H10" s="164">
        <f t="shared" si="0"/>
        <v>339082268.31264687</v>
      </c>
      <c r="I10" s="164">
        <f t="shared" si="0"/>
        <v>354364813.01726717</v>
      </c>
      <c r="J10" s="164">
        <f t="shared" si="0"/>
        <v>366463045.1445092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7.25" customHeight="1">
      <c r="A11" s="219"/>
      <c r="B11" s="220"/>
      <c r="C11" s="159"/>
      <c r="D11" s="160" t="s">
        <v>295</v>
      </c>
      <c r="E11" s="161" t="str">
        <f>Hypotheses!$E$13</f>
        <v>XOF</v>
      </c>
      <c r="F11" s="292">
        <f>Amort_Immobilisation!D61</f>
        <v>0</v>
      </c>
      <c r="G11" s="292">
        <v>0</v>
      </c>
      <c r="H11" s="292">
        <v>0</v>
      </c>
      <c r="I11" s="292">
        <v>0</v>
      </c>
      <c r="J11" s="292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7.25" customHeight="1">
      <c r="A12" s="219"/>
      <c r="B12" s="220"/>
      <c r="C12" s="43"/>
      <c r="D12" s="160" t="s">
        <v>283</v>
      </c>
      <c r="E12" s="161" t="str">
        <f>Hypotheses!$E$13</f>
        <v>XOF</v>
      </c>
      <c r="F12" s="292">
        <f>'TA _Invest'!B2+'TA _Exploitation'!B2</f>
        <v>39300000</v>
      </c>
      <c r="G12" s="292">
        <v>0</v>
      </c>
      <c r="H12" s="292">
        <v>0</v>
      </c>
      <c r="I12" s="292">
        <v>0</v>
      </c>
      <c r="J12" s="292"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7.25" customHeight="1">
      <c r="A13" s="219"/>
      <c r="B13" s="220"/>
      <c r="C13" s="159"/>
      <c r="D13" s="160" t="s">
        <v>296</v>
      </c>
      <c r="E13" s="161" t="str">
        <f>Hypotheses!$E$13</f>
        <v>XOF</v>
      </c>
      <c r="F13" s="293"/>
      <c r="G13" s="293"/>
      <c r="H13" s="293"/>
      <c r="I13" s="293"/>
      <c r="J13" s="29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7.25" customHeight="1">
      <c r="A14" s="219"/>
      <c r="B14" s="220"/>
      <c r="C14" s="43"/>
      <c r="D14" s="165" t="s">
        <v>297</v>
      </c>
      <c r="E14" s="166" t="str">
        <f>Hypotheses!$E$13</f>
        <v>XOF</v>
      </c>
      <c r="F14" s="167">
        <f t="shared" ref="F14:J14" si="1">SUM(F10:F13)</f>
        <v>53229725.33342012</v>
      </c>
      <c r="G14" s="167">
        <f t="shared" si="1"/>
        <v>324703601.89130688</v>
      </c>
      <c r="H14" s="167">
        <f t="shared" si="1"/>
        <v>339082268.31264687</v>
      </c>
      <c r="I14" s="167">
        <f t="shared" si="1"/>
        <v>354364813.01726717</v>
      </c>
      <c r="J14" s="167">
        <f t="shared" si="1"/>
        <v>366463045.1445092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spans="1:25" ht="17.25" customHeight="1">
      <c r="A15" s="219"/>
      <c r="B15" s="220"/>
      <c r="C15" s="43"/>
      <c r="D15" s="43"/>
      <c r="E15" s="168"/>
      <c r="F15" s="169"/>
      <c r="G15" s="169"/>
      <c r="H15" s="169"/>
      <c r="I15" s="169"/>
      <c r="J15" s="169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ht="17.25" customHeight="1">
      <c r="A16" s="219"/>
      <c r="B16" s="220"/>
      <c r="C16" s="58" t="s">
        <v>298</v>
      </c>
      <c r="D16" s="59"/>
      <c r="E16" s="60"/>
      <c r="F16" s="83"/>
      <c r="G16" s="83"/>
      <c r="H16" s="83"/>
      <c r="I16" s="83"/>
      <c r="J16" s="8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7.25" customHeight="1">
      <c r="A17" s="219"/>
      <c r="B17" s="220"/>
      <c r="C17" s="43"/>
      <c r="D17" s="159" t="s">
        <v>285</v>
      </c>
      <c r="E17" s="160" t="str">
        <f>Hypotheses!$E$13</f>
        <v>XOF</v>
      </c>
      <c r="F17" s="292">
        <f>F12+F11</f>
        <v>39300000</v>
      </c>
      <c r="G17" s="293"/>
      <c r="H17" s="293"/>
      <c r="I17" s="293"/>
      <c r="J17" s="29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ht="17.25" customHeight="1">
      <c r="A18" s="219"/>
      <c r="B18" s="220"/>
      <c r="C18" s="43"/>
      <c r="D18" s="159" t="s">
        <v>299</v>
      </c>
      <c r="E18" s="160" t="str">
        <f>Hypotheses!$E$13</f>
        <v>XOF</v>
      </c>
      <c r="F18" s="292">
        <f>'Plan tréso'!F23</f>
        <v>10740681.442235015</v>
      </c>
      <c r="G18" s="292">
        <f>'Plan tréso'!G23</f>
        <v>10740681.442235017</v>
      </c>
      <c r="H18" s="292">
        <f>'Plan tréso'!H23</f>
        <v>9627323.1167529505</v>
      </c>
      <c r="I18" s="292">
        <f>'Plan tréso'!I23</f>
        <v>9627323.1167529523</v>
      </c>
      <c r="J18" s="292">
        <f>'Plan tréso'!J23</f>
        <v>9627323.1167529505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ht="17.25" customHeight="1">
      <c r="A19" s="219"/>
      <c r="B19" s="220"/>
      <c r="C19" s="43"/>
      <c r="D19" s="43" t="s">
        <v>300</v>
      </c>
      <c r="E19" s="160" t="str">
        <f>Hypotheses!$E$13</f>
        <v>XOF</v>
      </c>
      <c r="F19" s="293"/>
      <c r="G19" s="293"/>
      <c r="H19" s="293"/>
      <c r="I19" s="293"/>
      <c r="J19" s="29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ht="17.25" customHeight="1">
      <c r="A20" s="219"/>
      <c r="B20" s="220"/>
      <c r="C20" s="43"/>
      <c r="D20" s="165" t="s">
        <v>301</v>
      </c>
      <c r="E20" s="166" t="str">
        <f>Hypotheses!$E$13</f>
        <v>XOF</v>
      </c>
      <c r="F20" s="167">
        <f t="shared" ref="F20:J20" si="2">SUM(F17:F19)</f>
        <v>50040681.442235015</v>
      </c>
      <c r="G20" s="167">
        <f t="shared" si="2"/>
        <v>10740681.442235017</v>
      </c>
      <c r="H20" s="167">
        <f t="shared" si="2"/>
        <v>9627323.1167529505</v>
      </c>
      <c r="I20" s="167">
        <f t="shared" si="2"/>
        <v>9627323.1167529523</v>
      </c>
      <c r="J20" s="167">
        <f t="shared" si="2"/>
        <v>9627323.1167529505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ht="17.25" customHeight="1">
      <c r="A21" s="219"/>
      <c r="B21" s="220"/>
      <c r="C21" s="43"/>
      <c r="D21" s="43"/>
      <c r="E21" s="168"/>
      <c r="F21" s="169"/>
      <c r="G21" s="169"/>
      <c r="H21" s="169"/>
      <c r="I21" s="169"/>
      <c r="J21" s="169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ht="17.25" customHeight="1">
      <c r="A22" s="219"/>
      <c r="B22" s="220"/>
      <c r="C22" s="295" t="s">
        <v>302</v>
      </c>
      <c r="D22" s="295"/>
      <c r="E22" s="296" t="str">
        <f>Hypotheses!$E$13</f>
        <v>XOF</v>
      </c>
      <c r="F22" s="297">
        <f t="shared" ref="F22:J22" si="3">F14-F20</f>
        <v>3189043.8911851048</v>
      </c>
      <c r="G22" s="297">
        <f t="shared" si="3"/>
        <v>313962920.44907188</v>
      </c>
      <c r="H22" s="297">
        <f t="shared" si="3"/>
        <v>329454945.19589394</v>
      </c>
      <c r="I22" s="297">
        <f t="shared" si="3"/>
        <v>344737489.90051425</v>
      </c>
      <c r="J22" s="297">
        <f t="shared" si="3"/>
        <v>356835722.02775627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17.25" customHeight="1">
      <c r="A23" s="219"/>
      <c r="B23" s="220"/>
      <c r="C23" s="295" t="s">
        <v>303</v>
      </c>
      <c r="D23" s="295"/>
      <c r="E23" s="296" t="str">
        <f>Hypotheses!$E$13</f>
        <v>XOF</v>
      </c>
      <c r="F23" s="170"/>
      <c r="G23" s="297">
        <f t="shared" ref="G23:J23" si="4">F24</f>
        <v>3189043.8911851048</v>
      </c>
      <c r="H23" s="297">
        <f t="shared" si="4"/>
        <v>317151964.34025699</v>
      </c>
      <c r="I23" s="297">
        <f t="shared" si="4"/>
        <v>646606909.53615093</v>
      </c>
      <c r="J23" s="297">
        <f t="shared" si="4"/>
        <v>991344399.43666518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ht="17.25" customHeight="1">
      <c r="A24" s="219"/>
      <c r="B24" s="220"/>
      <c r="C24" s="171" t="s">
        <v>304</v>
      </c>
      <c r="D24" s="171"/>
      <c r="E24" s="172" t="str">
        <f>Hypotheses!$E$13</f>
        <v>XOF</v>
      </c>
      <c r="F24" s="173">
        <f t="shared" ref="F24:J24" si="5">F23+F22</f>
        <v>3189043.8911851048</v>
      </c>
      <c r="G24" s="173">
        <f t="shared" si="5"/>
        <v>317151964.34025699</v>
      </c>
      <c r="H24" s="173">
        <f t="shared" si="5"/>
        <v>646606909.53615093</v>
      </c>
      <c r="I24" s="173">
        <f t="shared" si="5"/>
        <v>991344399.43666518</v>
      </c>
      <c r="J24" s="173">
        <f t="shared" si="5"/>
        <v>1348180121.4644215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ht="17.25" customHeight="1">
      <c r="A25" s="219"/>
      <c r="B25" s="220"/>
      <c r="C25" s="33"/>
      <c r="D25" s="33"/>
      <c r="E25" s="33"/>
      <c r="F25" s="65"/>
      <c r="G25" s="65"/>
      <c r="H25" s="65"/>
      <c r="I25" s="65"/>
      <c r="J25" s="65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ht="17.25" customHeight="1">
      <c r="A26" s="219"/>
      <c r="B26" s="220"/>
      <c r="C26" s="33"/>
      <c r="D26" s="33"/>
      <c r="E26" s="33"/>
      <c r="F26" s="65"/>
      <c r="G26" s="65"/>
      <c r="H26" s="65"/>
      <c r="I26" s="65"/>
      <c r="J26" s="65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ht="17.25" customHeight="1">
      <c r="A27" s="219"/>
      <c r="B27" s="220"/>
      <c r="C27" s="33"/>
      <c r="D27" s="33"/>
      <c r="E27" s="33"/>
      <c r="F27" s="65"/>
      <c r="G27" s="65"/>
      <c r="H27" s="65"/>
      <c r="I27" s="65"/>
      <c r="J27" s="65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17.25" customHeight="1">
      <c r="A28" s="219"/>
      <c r="B28" s="220"/>
      <c r="C28" s="33"/>
      <c r="D28" s="298" t="s">
        <v>305</v>
      </c>
      <c r="E28" s="299"/>
      <c r="F28" s="300"/>
      <c r="G28" s="300"/>
      <c r="H28" s="300"/>
      <c r="I28" s="300"/>
      <c r="J28" s="300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17.25" customHeight="1">
      <c r="A29" s="219"/>
      <c r="B29" s="220"/>
      <c r="C29" s="33"/>
      <c r="D29" s="52"/>
      <c r="E29" s="174"/>
      <c r="F29" s="175"/>
      <c r="G29" s="175"/>
      <c r="H29" s="339"/>
      <c r="I29" s="65"/>
      <c r="J29" s="65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17.25" customHeight="1">
      <c r="A30" s="219"/>
      <c r="B30" s="220"/>
      <c r="C30" s="33"/>
      <c r="D30" s="52" t="s">
        <v>306</v>
      </c>
      <c r="E30" s="176" t="s">
        <v>156</v>
      </c>
      <c r="F30" s="301">
        <f>OPEX!F23*Delais_clients/jours_an</f>
        <v>6450000</v>
      </c>
      <c r="G30" s="301">
        <f>OPEX!G23*Delais_clients/jours_an</f>
        <v>43027500</v>
      </c>
      <c r="H30" s="301">
        <f>OPEX!H23*Delais_clients/jours_an</f>
        <v>44813625</v>
      </c>
      <c r="I30" s="301">
        <f>OPEX!I23*Delais_clients/jours_an</f>
        <v>46718388.750000007</v>
      </c>
      <c r="J30" s="301">
        <f>OPEX!J23*Delais_clients/jours_an</f>
        <v>48754184.662500001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17.25" customHeight="1">
      <c r="A31" s="219"/>
      <c r="B31" s="220"/>
      <c r="C31" s="33"/>
      <c r="D31" s="52" t="s">
        <v>307</v>
      </c>
      <c r="E31" s="176" t="s">
        <v>156</v>
      </c>
      <c r="F31" s="301">
        <f>+OPEX!F26*Delais_Stocks/jours_an</f>
        <v>55824.657534246573</v>
      </c>
      <c r="G31" s="301">
        <f>+OPEX!G26*Delais_Stocks/jours_an</f>
        <v>56002.191780821915</v>
      </c>
      <c r="H31" s="301">
        <f>+OPEX!H26*Delais_Stocks/jours_an</f>
        <v>56185.05205479452</v>
      </c>
      <c r="I31" s="301">
        <f>+OPEX!I26*Delais_Stocks/jours_an</f>
        <v>56373.398136986303</v>
      </c>
      <c r="J31" s="301">
        <f>+OPEX!J26*Delais_Stocks/jours_an</f>
        <v>56567.394601643828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17.25" customHeight="1">
      <c r="A32" s="219"/>
      <c r="B32" s="220"/>
      <c r="C32" s="33"/>
      <c r="D32" s="52" t="s">
        <v>134</v>
      </c>
      <c r="E32" s="176" t="s">
        <v>156</v>
      </c>
      <c r="F32" s="301">
        <f>+(OPEX!F26+OPEX!F33+OPEX!F43+OPEX!F44+OPEX!F45+OPEX!F46+OPEX!F47)*Delais_Frs/jours_an</f>
        <v>2485446.5753424657</v>
      </c>
      <c r="G32" s="301">
        <f>+(OPEX!G26+OPEX!G33+OPEX!G43+OPEX!G44+OPEX!G45+OPEX!G46+OPEX!G47)*Delais_Frs/jours_an</f>
        <v>2527206.5753424657</v>
      </c>
      <c r="H32" s="301">
        <f>+(OPEX!H26+OPEX!H33+OPEX!H43+OPEX!H44+OPEX!H45+OPEX!H46+OPEX!H47)*Delais_Frs/jours_an</f>
        <v>2569775.5397260273</v>
      </c>
      <c r="I32" s="301">
        <f>+(OPEX!I26+OPEX!I33+OPEX!I43+OPEX!I44+OPEX!I45+OPEX!I46+OPEX!I47)*Delais_Frs/jours_an</f>
        <v>2613170.8333150684</v>
      </c>
      <c r="J32" s="301">
        <f>+(OPEX!J26+OPEX!J33+OPEX!J43+OPEX!J44+OPEX!J45+OPEX!J46+OPEX!J47)*Delais_Frs/jours_an</f>
        <v>2657410.2235199995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17.25" customHeight="1">
      <c r="A33" s="219"/>
      <c r="B33" s="220"/>
      <c r="C33" s="33"/>
      <c r="D33" s="52" t="s">
        <v>308</v>
      </c>
      <c r="E33" s="176" t="s">
        <v>156</v>
      </c>
      <c r="F33" s="301">
        <f t="shared" ref="F33:J33" si="6">SUM(F30:F31)-F32</f>
        <v>4020378.0821917807</v>
      </c>
      <c r="G33" s="301">
        <f t="shared" si="6"/>
        <v>40556295.616438352</v>
      </c>
      <c r="H33" s="301">
        <f t="shared" si="6"/>
        <v>42300034.512328766</v>
      </c>
      <c r="I33" s="301">
        <f t="shared" si="6"/>
        <v>44161591.314821929</v>
      </c>
      <c r="J33" s="301">
        <f t="shared" si="6"/>
        <v>46153341.833581641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17.25" customHeight="1">
      <c r="A34" s="219"/>
      <c r="B34" s="220"/>
      <c r="C34" s="33"/>
      <c r="D34" s="302" t="s">
        <v>309</v>
      </c>
      <c r="E34" s="303"/>
      <c r="F34" s="177">
        <f>F33-E34</f>
        <v>4020378.0821917807</v>
      </c>
      <c r="G34" s="177">
        <f t="shared" ref="G34:J34" si="7">G33-F33</f>
        <v>36535917.534246571</v>
      </c>
      <c r="H34" s="177">
        <f t="shared" si="7"/>
        <v>1743738.8958904147</v>
      </c>
      <c r="I34" s="177">
        <f t="shared" si="7"/>
        <v>1861556.8024931625</v>
      </c>
      <c r="J34" s="177">
        <f t="shared" si="7"/>
        <v>1991750.5187597126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17.25" customHeight="1">
      <c r="A35" s="219"/>
      <c r="B35" s="220"/>
      <c r="C35" s="33"/>
      <c r="D35" s="33"/>
      <c r="E35" s="33"/>
      <c r="F35" s="65"/>
      <c r="G35" s="65"/>
      <c r="H35" s="65"/>
      <c r="I35" s="65"/>
      <c r="J35" s="65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17.25" customHeight="1">
      <c r="A36" s="219"/>
      <c r="B36" s="220"/>
      <c r="C36" s="33"/>
      <c r="D36" s="33"/>
      <c r="E36" s="33"/>
      <c r="F36" s="65"/>
      <c r="G36" s="65"/>
      <c r="H36" s="65"/>
      <c r="I36" s="65"/>
      <c r="J36" s="65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7.25" customHeight="1">
      <c r="A37" s="219"/>
      <c r="B37" s="220"/>
      <c r="C37" s="33"/>
      <c r="D37" s="33"/>
      <c r="E37" s="33"/>
      <c r="F37" s="65"/>
      <c r="G37" s="65"/>
      <c r="H37" s="65"/>
      <c r="I37" s="65"/>
      <c r="J37" s="65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17.25" customHeight="1">
      <c r="A38" s="227"/>
      <c r="B38" s="228"/>
      <c r="C38" s="33"/>
      <c r="D38" s="33"/>
      <c r="E38" s="33"/>
      <c r="F38" s="65"/>
      <c r="G38" s="65"/>
      <c r="H38" s="65"/>
      <c r="I38" s="65"/>
      <c r="J38" s="65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17.25" customHeight="1">
      <c r="A39" s="227"/>
      <c r="B39" s="228"/>
      <c r="C39" s="33"/>
      <c r="D39" s="33"/>
      <c r="E39" s="33"/>
      <c r="F39" s="65"/>
      <c r="G39" s="65"/>
      <c r="H39" s="65"/>
      <c r="I39" s="65"/>
      <c r="J39" s="65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7.25" customHeight="1">
      <c r="A40" s="227"/>
      <c r="B40" s="228"/>
      <c r="C40" s="33"/>
      <c r="D40" s="33"/>
      <c r="E40" s="33"/>
      <c r="F40" s="65"/>
      <c r="G40" s="65"/>
      <c r="H40" s="65"/>
      <c r="I40" s="65"/>
      <c r="J40" s="65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17.25" customHeight="1">
      <c r="A41" s="227"/>
      <c r="B41" s="228"/>
      <c r="C41" s="33"/>
      <c r="D41" s="33"/>
      <c r="E41" s="33"/>
      <c r="F41" s="65"/>
      <c r="G41" s="65"/>
      <c r="H41" s="65"/>
      <c r="I41" s="65"/>
      <c r="J41" s="65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ht="17.25" customHeight="1">
      <c r="A42" s="227"/>
      <c r="B42" s="228"/>
      <c r="C42" s="33"/>
      <c r="D42" s="33"/>
      <c r="E42" s="33"/>
      <c r="F42" s="65"/>
      <c r="G42" s="65"/>
      <c r="H42" s="65"/>
      <c r="I42" s="65"/>
      <c r="J42" s="65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ht="17.25" customHeight="1">
      <c r="A43" s="227"/>
      <c r="B43" s="228"/>
      <c r="C43" s="33"/>
      <c r="D43" s="33"/>
      <c r="E43" s="33"/>
      <c r="F43" s="65"/>
      <c r="G43" s="65"/>
      <c r="H43" s="65"/>
      <c r="I43" s="65"/>
      <c r="J43" s="65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17.25" customHeight="1">
      <c r="A44" s="227"/>
      <c r="B44" s="228"/>
      <c r="C44" s="33"/>
      <c r="D44" s="33"/>
      <c r="E44" s="33"/>
      <c r="F44" s="65"/>
      <c r="G44" s="65"/>
      <c r="H44" s="65"/>
      <c r="I44" s="65"/>
      <c r="J44" s="65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17.25" customHeight="1">
      <c r="A45" s="227"/>
      <c r="B45" s="228"/>
      <c r="C45" s="33"/>
      <c r="D45" s="33"/>
      <c r="E45" s="33"/>
      <c r="F45" s="65"/>
      <c r="G45" s="65"/>
      <c r="H45" s="65"/>
      <c r="I45" s="65"/>
      <c r="J45" s="65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17.25" customHeight="1">
      <c r="A46" s="227"/>
      <c r="B46" s="228"/>
      <c r="C46" s="33"/>
      <c r="D46" s="33"/>
      <c r="E46" s="33"/>
      <c r="F46" s="65"/>
      <c r="G46" s="65"/>
      <c r="H46" s="65"/>
      <c r="I46" s="65"/>
      <c r="J46" s="65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7.25" customHeight="1">
      <c r="A47" s="227"/>
      <c r="B47" s="228"/>
      <c r="C47" s="33"/>
      <c r="D47" s="33"/>
      <c r="E47" s="33"/>
      <c r="F47" s="65"/>
      <c r="G47" s="65"/>
      <c r="H47" s="65"/>
      <c r="I47" s="65"/>
      <c r="J47" s="65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17.25" customHeight="1">
      <c r="A48" s="227"/>
      <c r="B48" s="228"/>
      <c r="C48" s="33"/>
      <c r="D48" s="33"/>
      <c r="E48" s="33"/>
      <c r="F48" s="65"/>
      <c r="G48" s="65"/>
      <c r="H48" s="65"/>
      <c r="I48" s="65"/>
      <c r="J48" s="65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17.25" customHeight="1">
      <c r="A49" s="227"/>
      <c r="B49" s="228"/>
      <c r="C49" s="33"/>
      <c r="D49" s="33"/>
      <c r="E49" s="33"/>
      <c r="F49" s="65"/>
      <c r="G49" s="65"/>
      <c r="H49" s="65"/>
      <c r="I49" s="65"/>
      <c r="J49" s="65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17.25" customHeight="1">
      <c r="A50" s="227"/>
      <c r="B50" s="228"/>
      <c r="C50" s="33"/>
      <c r="D50" s="33"/>
      <c r="E50" s="33"/>
      <c r="F50" s="65"/>
      <c r="G50" s="65"/>
      <c r="H50" s="65"/>
      <c r="I50" s="65"/>
      <c r="J50" s="65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17.25" customHeight="1">
      <c r="A51" s="227"/>
      <c r="B51" s="228"/>
      <c r="C51" s="33"/>
      <c r="D51" s="33"/>
      <c r="E51" s="33"/>
      <c r="F51" s="65"/>
      <c r="G51" s="65"/>
      <c r="H51" s="65"/>
      <c r="I51" s="65"/>
      <c r="J51" s="65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17.25" customHeight="1">
      <c r="A52" s="227"/>
      <c r="B52" s="228"/>
      <c r="C52" s="33"/>
      <c r="D52" s="33"/>
      <c r="E52" s="33"/>
      <c r="F52" s="65"/>
      <c r="G52" s="65"/>
      <c r="H52" s="65"/>
      <c r="I52" s="65"/>
      <c r="J52" s="65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17.25" customHeight="1">
      <c r="A53" s="227"/>
      <c r="B53" s="228"/>
      <c r="C53" s="33"/>
      <c r="D53" s="33"/>
      <c r="E53" s="33"/>
      <c r="F53" s="65"/>
      <c r="G53" s="65"/>
      <c r="H53" s="65"/>
      <c r="I53" s="65"/>
      <c r="J53" s="65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17.25" customHeight="1">
      <c r="A54" s="227"/>
      <c r="B54" s="228"/>
      <c r="C54" s="33"/>
      <c r="D54" s="33"/>
      <c r="E54" s="33"/>
      <c r="F54" s="65"/>
      <c r="G54" s="65"/>
      <c r="H54" s="65"/>
      <c r="I54" s="65"/>
      <c r="J54" s="65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17.25" customHeight="1">
      <c r="A55" s="227"/>
      <c r="B55" s="228"/>
      <c r="C55" s="33"/>
      <c r="D55" s="33"/>
      <c r="E55" s="33"/>
      <c r="F55" s="65"/>
      <c r="G55" s="65"/>
      <c r="H55" s="65"/>
      <c r="I55" s="65"/>
      <c r="J55" s="65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17.25" customHeight="1">
      <c r="A56" s="227"/>
      <c r="B56" s="228"/>
      <c r="C56" s="33"/>
      <c r="D56" s="33"/>
      <c r="E56" s="33"/>
      <c r="F56" s="65"/>
      <c r="G56" s="65"/>
      <c r="H56" s="65"/>
      <c r="I56" s="65"/>
      <c r="J56" s="65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17.25" customHeight="1">
      <c r="A57" s="227"/>
      <c r="B57" s="228"/>
      <c r="C57" s="33"/>
      <c r="D57" s="33"/>
      <c r="E57" s="33"/>
      <c r="F57" s="65"/>
      <c r="G57" s="65"/>
      <c r="H57" s="65"/>
      <c r="I57" s="65"/>
      <c r="J57" s="65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17.25" customHeight="1">
      <c r="A58" s="227"/>
      <c r="B58" s="228"/>
      <c r="C58" s="33"/>
      <c r="D58" s="33"/>
      <c r="E58" s="33"/>
      <c r="F58" s="65"/>
      <c r="G58" s="65"/>
      <c r="H58" s="65"/>
      <c r="I58" s="65"/>
      <c r="J58" s="65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17.25" customHeight="1">
      <c r="A59" s="227"/>
      <c r="B59" s="228"/>
      <c r="C59" s="33"/>
      <c r="D59" s="33"/>
      <c r="E59" s="33"/>
      <c r="F59" s="65"/>
      <c r="G59" s="65"/>
      <c r="H59" s="65"/>
      <c r="I59" s="65"/>
      <c r="J59" s="65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17.25" customHeight="1">
      <c r="A60" s="227"/>
      <c r="B60" s="228"/>
      <c r="C60" s="33"/>
      <c r="D60" s="33"/>
      <c r="E60" s="33"/>
      <c r="F60" s="65"/>
      <c r="G60" s="65"/>
      <c r="H60" s="65"/>
      <c r="I60" s="65"/>
      <c r="J60" s="65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17.25" customHeight="1">
      <c r="A61" s="227"/>
      <c r="B61" s="228"/>
      <c r="C61" s="33"/>
      <c r="D61" s="33"/>
      <c r="E61" s="33"/>
      <c r="F61" s="65"/>
      <c r="G61" s="65"/>
      <c r="H61" s="65"/>
      <c r="I61" s="65"/>
      <c r="J61" s="65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17.25" customHeight="1">
      <c r="A62" s="227"/>
      <c r="B62" s="228"/>
      <c r="C62" s="33"/>
      <c r="D62" s="33"/>
      <c r="E62" s="33"/>
      <c r="F62" s="65"/>
      <c r="G62" s="65"/>
      <c r="H62" s="65"/>
      <c r="I62" s="65"/>
      <c r="J62" s="65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17.25" customHeight="1">
      <c r="A63" s="227"/>
      <c r="B63" s="228"/>
      <c r="C63" s="33"/>
      <c r="D63" s="33"/>
      <c r="E63" s="33"/>
      <c r="F63" s="65"/>
      <c r="G63" s="65"/>
      <c r="H63" s="65"/>
      <c r="I63" s="65"/>
      <c r="J63" s="65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17.25" customHeight="1">
      <c r="A64" s="227"/>
      <c r="B64" s="228"/>
      <c r="C64" s="33"/>
      <c r="D64" s="33"/>
      <c r="E64" s="33"/>
      <c r="F64" s="65"/>
      <c r="G64" s="65"/>
      <c r="H64" s="65"/>
      <c r="I64" s="65"/>
      <c r="J64" s="65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17.25" customHeight="1">
      <c r="A65" s="227"/>
      <c r="B65" s="228"/>
      <c r="C65" s="33"/>
      <c r="D65" s="33"/>
      <c r="E65" s="33"/>
      <c r="F65" s="65"/>
      <c r="G65" s="65"/>
      <c r="H65" s="65"/>
      <c r="I65" s="65"/>
      <c r="J65" s="65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17.25" customHeight="1">
      <c r="A66" s="227"/>
      <c r="B66" s="228"/>
      <c r="C66" s="33"/>
      <c r="D66" s="33"/>
      <c r="E66" s="33"/>
      <c r="F66" s="65"/>
      <c r="G66" s="65"/>
      <c r="H66" s="65"/>
      <c r="I66" s="65"/>
      <c r="J66" s="65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17.25" customHeight="1">
      <c r="A67" s="227"/>
      <c r="B67" s="228"/>
      <c r="C67" s="33"/>
      <c r="D67" s="33"/>
      <c r="E67" s="33"/>
      <c r="F67" s="65"/>
      <c r="G67" s="65"/>
      <c r="H67" s="65"/>
      <c r="I67" s="65"/>
      <c r="J67" s="65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17.25" customHeight="1">
      <c r="A68" s="227"/>
      <c r="B68" s="228"/>
      <c r="C68" s="33"/>
      <c r="D68" s="33"/>
      <c r="E68" s="33"/>
      <c r="F68" s="65"/>
      <c r="G68" s="65"/>
      <c r="H68" s="65"/>
      <c r="I68" s="65"/>
      <c r="J68" s="65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17.25" customHeight="1">
      <c r="A69" s="227"/>
      <c r="B69" s="228"/>
      <c r="C69" s="33"/>
      <c r="D69" s="33"/>
      <c r="E69" s="33"/>
      <c r="F69" s="65"/>
      <c r="G69" s="65"/>
      <c r="H69" s="65"/>
      <c r="I69" s="65"/>
      <c r="J69" s="65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17.25" customHeight="1">
      <c r="A70" s="227"/>
      <c r="B70" s="228"/>
      <c r="C70" s="33"/>
      <c r="D70" s="33"/>
      <c r="E70" s="33"/>
      <c r="F70" s="65"/>
      <c r="G70" s="65"/>
      <c r="H70" s="65"/>
      <c r="I70" s="65"/>
      <c r="J70" s="65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17.25" customHeight="1">
      <c r="A71" s="227"/>
      <c r="B71" s="228"/>
      <c r="C71" s="33"/>
      <c r="D71" s="33"/>
      <c r="E71" s="33"/>
      <c r="F71" s="65"/>
      <c r="G71" s="65"/>
      <c r="H71" s="65"/>
      <c r="I71" s="65"/>
      <c r="J71" s="65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17.25" customHeight="1">
      <c r="A72" s="227"/>
      <c r="B72" s="228"/>
      <c r="C72" s="33"/>
      <c r="D72" s="33"/>
      <c r="E72" s="33"/>
      <c r="F72" s="65"/>
      <c r="G72" s="65"/>
      <c r="H72" s="65"/>
      <c r="I72" s="65"/>
      <c r="J72" s="65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17.25" customHeight="1">
      <c r="A73" s="227"/>
      <c r="B73" s="228"/>
      <c r="C73" s="33"/>
      <c r="D73" s="33"/>
      <c r="E73" s="33"/>
      <c r="F73" s="65"/>
      <c r="G73" s="65"/>
      <c r="H73" s="65"/>
      <c r="I73" s="65"/>
      <c r="J73" s="65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17.25" customHeight="1">
      <c r="A74" s="227"/>
      <c r="B74" s="228"/>
      <c r="C74" s="33"/>
      <c r="D74" s="33"/>
      <c r="E74" s="33"/>
      <c r="F74" s="65"/>
      <c r="G74" s="65"/>
      <c r="H74" s="65"/>
      <c r="I74" s="65"/>
      <c r="J74" s="65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17.25" customHeight="1">
      <c r="A75" s="227"/>
      <c r="B75" s="228"/>
      <c r="C75" s="33"/>
      <c r="D75" s="33"/>
      <c r="E75" s="33"/>
      <c r="F75" s="65"/>
      <c r="G75" s="65"/>
      <c r="H75" s="65"/>
      <c r="I75" s="65"/>
      <c r="J75" s="65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17.25" customHeight="1">
      <c r="A76" s="227"/>
      <c r="B76" s="228"/>
      <c r="C76" s="33"/>
      <c r="D76" s="33"/>
      <c r="E76" s="33"/>
      <c r="F76" s="65"/>
      <c r="G76" s="65"/>
      <c r="H76" s="65"/>
      <c r="I76" s="65"/>
      <c r="J76" s="65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17.25" customHeight="1">
      <c r="A77" s="227"/>
      <c r="B77" s="228"/>
      <c r="C77" s="33"/>
      <c r="D77" s="33"/>
      <c r="E77" s="33"/>
      <c r="F77" s="65"/>
      <c r="G77" s="65"/>
      <c r="H77" s="65"/>
      <c r="I77" s="65"/>
      <c r="J77" s="65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7.25" customHeight="1">
      <c r="A78" s="227"/>
      <c r="B78" s="228"/>
      <c r="C78" s="33"/>
      <c r="D78" s="33"/>
      <c r="E78" s="33"/>
      <c r="F78" s="65"/>
      <c r="G78" s="65"/>
      <c r="H78" s="65"/>
      <c r="I78" s="65"/>
      <c r="J78" s="65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7.25" customHeight="1">
      <c r="A79" s="227"/>
      <c r="B79" s="228"/>
      <c r="C79" s="33"/>
      <c r="D79" s="33"/>
      <c r="E79" s="33"/>
      <c r="F79" s="65"/>
      <c r="G79" s="65"/>
      <c r="H79" s="65"/>
      <c r="I79" s="65"/>
      <c r="J79" s="65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17.25" customHeight="1">
      <c r="A80" s="227"/>
      <c r="B80" s="228"/>
      <c r="C80" s="33"/>
      <c r="D80" s="33"/>
      <c r="E80" s="33"/>
      <c r="F80" s="65"/>
      <c r="G80" s="65"/>
      <c r="H80" s="65"/>
      <c r="I80" s="65"/>
      <c r="J80" s="65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17.25" customHeight="1">
      <c r="A81" s="227"/>
      <c r="B81" s="228"/>
      <c r="C81" s="33"/>
      <c r="D81" s="33"/>
      <c r="E81" s="33"/>
      <c r="F81" s="65"/>
      <c r="G81" s="65"/>
      <c r="H81" s="65"/>
      <c r="I81" s="65"/>
      <c r="J81" s="65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ht="17.25" customHeight="1">
      <c r="A82" s="227"/>
      <c r="B82" s="228"/>
      <c r="C82" s="33"/>
      <c r="D82" s="33"/>
      <c r="E82" s="33"/>
      <c r="F82" s="65"/>
      <c r="G82" s="65"/>
      <c r="H82" s="65"/>
      <c r="I82" s="65"/>
      <c r="J82" s="65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ht="17.25" customHeight="1">
      <c r="A83" s="227"/>
      <c r="B83" s="228"/>
      <c r="C83" s="33"/>
      <c r="D83" s="33"/>
      <c r="E83" s="33"/>
      <c r="F83" s="65"/>
      <c r="G83" s="65"/>
      <c r="H83" s="65"/>
      <c r="I83" s="65"/>
      <c r="J83" s="65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ht="17.25" customHeight="1">
      <c r="A84" s="227"/>
      <c r="B84" s="228"/>
      <c r="C84" s="33"/>
      <c r="D84" s="33"/>
      <c r="E84" s="33"/>
      <c r="F84" s="65"/>
      <c r="G84" s="65"/>
      <c r="H84" s="65"/>
      <c r="I84" s="65"/>
      <c r="J84" s="65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ht="17.25" customHeight="1">
      <c r="A85" s="227"/>
      <c r="B85" s="228"/>
      <c r="C85" s="33"/>
      <c r="D85" s="33"/>
      <c r="E85" s="33"/>
      <c r="F85" s="65"/>
      <c r="G85" s="65"/>
      <c r="H85" s="65"/>
      <c r="I85" s="65"/>
      <c r="J85" s="65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17.25" customHeight="1">
      <c r="A86" s="227"/>
      <c r="B86" s="228"/>
      <c r="C86" s="33"/>
      <c r="D86" s="33"/>
      <c r="E86" s="33"/>
      <c r="F86" s="65"/>
      <c r="G86" s="65"/>
      <c r="H86" s="65"/>
      <c r="I86" s="65"/>
      <c r="J86" s="65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17.25" customHeight="1">
      <c r="A87" s="227"/>
      <c r="B87" s="228"/>
      <c r="C87" s="33"/>
      <c r="D87" s="33"/>
      <c r="E87" s="33"/>
      <c r="F87" s="65"/>
      <c r="G87" s="65"/>
      <c r="H87" s="65"/>
      <c r="I87" s="65"/>
      <c r="J87" s="65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ht="17.25" customHeight="1">
      <c r="A88" s="227"/>
      <c r="B88" s="228"/>
      <c r="C88" s="33"/>
      <c r="D88" s="33"/>
      <c r="E88" s="33"/>
      <c r="F88" s="65"/>
      <c r="G88" s="65"/>
      <c r="H88" s="65"/>
      <c r="I88" s="65"/>
      <c r="J88" s="65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ht="17.25" customHeight="1">
      <c r="A89" s="227"/>
      <c r="B89" s="228"/>
      <c r="C89" s="33"/>
      <c r="D89" s="33"/>
      <c r="E89" s="33"/>
      <c r="F89" s="65"/>
      <c r="G89" s="65"/>
      <c r="H89" s="65"/>
      <c r="I89" s="65"/>
      <c r="J89" s="65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ht="17.25" customHeight="1">
      <c r="A90" s="227"/>
      <c r="B90" s="228"/>
      <c r="C90" s="33"/>
      <c r="D90" s="33"/>
      <c r="E90" s="33"/>
      <c r="F90" s="65"/>
      <c r="G90" s="65"/>
      <c r="H90" s="65"/>
      <c r="I90" s="65"/>
      <c r="J90" s="65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ht="17.25" customHeight="1">
      <c r="A91" s="227"/>
      <c r="B91" s="228"/>
      <c r="C91" s="33"/>
      <c r="D91" s="33"/>
      <c r="E91" s="33"/>
      <c r="F91" s="65"/>
      <c r="G91" s="65"/>
      <c r="H91" s="65"/>
      <c r="I91" s="65"/>
      <c r="J91" s="65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ht="17.25" customHeight="1">
      <c r="A92" s="227"/>
      <c r="B92" s="228"/>
      <c r="C92" s="33"/>
      <c r="D92" s="33"/>
      <c r="E92" s="33"/>
      <c r="F92" s="65"/>
      <c r="G92" s="65"/>
      <c r="H92" s="65"/>
      <c r="I92" s="65"/>
      <c r="J92" s="65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7.25" customHeight="1">
      <c r="A93" s="227"/>
      <c r="B93" s="228"/>
      <c r="C93" s="33"/>
      <c r="D93" s="33"/>
      <c r="E93" s="33"/>
      <c r="F93" s="65"/>
      <c r="G93" s="65"/>
      <c r="H93" s="65"/>
      <c r="I93" s="65"/>
      <c r="J93" s="65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spans="1:25" ht="17.25" customHeight="1">
      <c r="A94" s="227"/>
      <c r="B94" s="228"/>
      <c r="C94" s="33"/>
      <c r="D94" s="33"/>
      <c r="E94" s="33" t="s">
        <v>310</v>
      </c>
      <c r="F94" s="65">
        <f t="shared" ref="F94:J94" si="8">F5</f>
        <v>2025</v>
      </c>
      <c r="G94" s="65">
        <f t="shared" si="8"/>
        <v>2026</v>
      </c>
      <c r="H94" s="65">
        <f t="shared" si="8"/>
        <v>2027</v>
      </c>
      <c r="I94" s="65">
        <f t="shared" si="8"/>
        <v>2028</v>
      </c>
      <c r="J94" s="65">
        <f t="shared" si="8"/>
        <v>2029</v>
      </c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spans="1:25" ht="17.25" customHeight="1">
      <c r="A95" s="227"/>
      <c r="B95" s="228"/>
      <c r="C95" s="33"/>
      <c r="D95" s="33" t="s">
        <v>311</v>
      </c>
      <c r="E95" s="178">
        <v>-30009625127.839649</v>
      </c>
      <c r="F95" s="65">
        <f t="shared" ref="F95:J95" si="9">F22</f>
        <v>3189043.8911851048</v>
      </c>
      <c r="G95" s="65">
        <f t="shared" si="9"/>
        <v>313962920.44907188</v>
      </c>
      <c r="H95" s="65">
        <f t="shared" si="9"/>
        <v>329454945.19589394</v>
      </c>
      <c r="I95" s="65">
        <f t="shared" si="9"/>
        <v>344737489.90051425</v>
      </c>
      <c r="J95" s="65">
        <f t="shared" si="9"/>
        <v>356835722.02775627</v>
      </c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15.75" customHeight="1">
      <c r="A96" s="227"/>
      <c r="B96" s="228"/>
      <c r="C96" s="33"/>
      <c r="D96" s="33"/>
      <c r="E96" s="33"/>
      <c r="F96" s="65"/>
      <c r="G96" s="65"/>
      <c r="H96" s="65"/>
      <c r="I96" s="65"/>
      <c r="J96" s="65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spans="1:25" ht="15.75" customHeight="1">
      <c r="A97" s="227"/>
      <c r="B97" s="228"/>
      <c r="C97" s="33"/>
      <c r="D97" s="33"/>
      <c r="E97" s="33"/>
      <c r="F97" s="65"/>
      <c r="G97" s="65"/>
      <c r="H97" s="65"/>
      <c r="I97" s="65"/>
      <c r="J97" s="65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spans="1:25" ht="15.75" customHeight="1">
      <c r="A98" s="227"/>
      <c r="B98" s="228"/>
      <c r="C98" s="33"/>
      <c r="D98" s="33"/>
      <c r="E98" s="33"/>
      <c r="F98" s="65"/>
      <c r="G98" s="65"/>
      <c r="H98" s="65"/>
      <c r="I98" s="65"/>
      <c r="J98" s="65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spans="1:25" ht="15.75" customHeight="1">
      <c r="A99" s="227"/>
      <c r="B99" s="228"/>
      <c r="C99" s="33"/>
      <c r="D99" s="33"/>
      <c r="E99" s="33"/>
      <c r="F99" s="65"/>
      <c r="G99" s="65"/>
      <c r="H99" s="65"/>
      <c r="I99" s="65"/>
      <c r="J99" s="65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spans="1:25" ht="15.75" customHeight="1">
      <c r="A100" s="227"/>
      <c r="B100" s="228"/>
      <c r="C100" s="33"/>
      <c r="D100" s="33"/>
      <c r="E100" s="33"/>
      <c r="F100" s="65"/>
      <c r="G100" s="65"/>
      <c r="H100" s="65"/>
      <c r="I100" s="65"/>
      <c r="J100" s="65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spans="1:25" ht="15.75" customHeight="1">
      <c r="A101" s="227"/>
      <c r="B101" s="228"/>
      <c r="C101" s="33"/>
      <c r="D101" s="33"/>
      <c r="E101" s="33"/>
      <c r="F101" s="65"/>
      <c r="G101" s="65"/>
      <c r="H101" s="65"/>
      <c r="I101" s="65"/>
      <c r="J101" s="65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spans="1:25" ht="15.75" customHeight="1">
      <c r="A102" s="227"/>
      <c r="B102" s="228"/>
      <c r="C102" s="33"/>
      <c r="D102" s="33"/>
      <c r="E102" s="33"/>
      <c r="F102" s="65"/>
      <c r="G102" s="65"/>
      <c r="H102" s="65"/>
      <c r="I102" s="65"/>
      <c r="J102" s="65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spans="1:25" ht="15.75" customHeight="1">
      <c r="A103" s="227"/>
      <c r="B103" s="228"/>
      <c r="C103" s="33"/>
      <c r="D103" s="33"/>
      <c r="E103" s="33"/>
      <c r="F103" s="65"/>
      <c r="G103" s="65"/>
      <c r="H103" s="65"/>
      <c r="I103" s="65"/>
      <c r="J103" s="65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spans="1:25" ht="15.75" customHeight="1">
      <c r="A104" s="227"/>
      <c r="B104" s="228"/>
      <c r="C104" s="33"/>
      <c r="D104" s="33"/>
      <c r="E104" s="33"/>
      <c r="F104" s="65"/>
      <c r="G104" s="65"/>
      <c r="H104" s="65"/>
      <c r="I104" s="65"/>
      <c r="J104" s="65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5" ht="15.75" customHeight="1">
      <c r="A105" s="227"/>
      <c r="B105" s="228"/>
      <c r="C105" s="33"/>
      <c r="D105" s="33"/>
      <c r="E105" s="33"/>
      <c r="F105" s="65"/>
      <c r="G105" s="65"/>
      <c r="H105" s="65"/>
      <c r="I105" s="65"/>
      <c r="J105" s="65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5" ht="15.75" customHeight="1">
      <c r="A106" s="227"/>
      <c r="B106" s="228"/>
      <c r="C106" s="33"/>
      <c r="D106" s="33"/>
      <c r="E106" s="33"/>
      <c r="F106" s="65"/>
      <c r="G106" s="65"/>
      <c r="H106" s="65"/>
      <c r="I106" s="65"/>
      <c r="J106" s="65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5" ht="15.75" customHeight="1">
      <c r="A107" s="227"/>
      <c r="B107" s="228"/>
      <c r="C107" s="33"/>
      <c r="D107" s="33"/>
      <c r="E107" s="33"/>
      <c r="F107" s="65"/>
      <c r="G107" s="65"/>
      <c r="H107" s="65"/>
      <c r="I107" s="65"/>
      <c r="J107" s="65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spans="1:25" ht="15.75" customHeight="1">
      <c r="A108" s="227"/>
      <c r="B108" s="228"/>
      <c r="C108" s="33"/>
      <c r="D108" s="33"/>
      <c r="E108" s="33"/>
      <c r="F108" s="65"/>
      <c r="G108" s="65"/>
      <c r="H108" s="65"/>
      <c r="I108" s="65"/>
      <c r="J108" s="65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spans="1:25" ht="15.75" customHeight="1">
      <c r="A109" s="227"/>
      <c r="B109" s="228"/>
      <c r="C109" s="33"/>
      <c r="D109" s="33"/>
      <c r="E109" s="33"/>
      <c r="F109" s="65"/>
      <c r="G109" s="65"/>
      <c r="H109" s="65"/>
      <c r="I109" s="65"/>
      <c r="J109" s="65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spans="1:25" ht="15.75" customHeight="1">
      <c r="A110" s="227"/>
      <c r="B110" s="228"/>
      <c r="C110" s="33"/>
      <c r="D110" s="33"/>
      <c r="E110" s="33"/>
      <c r="F110" s="65"/>
      <c r="G110" s="65"/>
      <c r="H110" s="65"/>
      <c r="I110" s="65"/>
      <c r="J110" s="65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spans="1:25" ht="15.75" customHeight="1">
      <c r="A111" s="227"/>
      <c r="B111" s="228"/>
      <c r="C111" s="33"/>
      <c r="D111" s="33"/>
      <c r="E111" s="33"/>
      <c r="F111" s="65"/>
      <c r="G111" s="65"/>
      <c r="H111" s="65"/>
      <c r="I111" s="65"/>
      <c r="J111" s="65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spans="1:25" ht="15.75" customHeight="1">
      <c r="A112" s="227"/>
      <c r="B112" s="228"/>
      <c r="C112" s="33"/>
      <c r="D112" s="33"/>
      <c r="E112" s="33"/>
      <c r="F112" s="65"/>
      <c r="G112" s="65"/>
      <c r="H112" s="65"/>
      <c r="I112" s="65"/>
      <c r="J112" s="65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spans="1:25" ht="15.75" customHeight="1">
      <c r="A113" s="227"/>
      <c r="B113" s="228"/>
      <c r="C113" s="33"/>
      <c r="D113" s="33"/>
      <c r="E113" s="33"/>
      <c r="F113" s="65"/>
      <c r="G113" s="65"/>
      <c r="H113" s="65"/>
      <c r="I113" s="65"/>
      <c r="J113" s="65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spans="1:25" ht="15.75" customHeight="1">
      <c r="A114" s="227"/>
      <c r="B114" s="228"/>
      <c r="C114" s="33"/>
      <c r="D114" s="33"/>
      <c r="E114" s="33"/>
      <c r="F114" s="65"/>
      <c r="G114" s="65"/>
      <c r="H114" s="65"/>
      <c r="I114" s="65"/>
      <c r="J114" s="65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spans="1:25" ht="15.75" customHeight="1">
      <c r="A115" s="227"/>
      <c r="B115" s="228"/>
      <c r="C115" s="33"/>
      <c r="D115" s="33"/>
      <c r="E115" s="33"/>
      <c r="F115" s="65"/>
      <c r="G115" s="65"/>
      <c r="H115" s="65"/>
      <c r="I115" s="65"/>
      <c r="J115" s="65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spans="1:25" ht="15.75" customHeight="1">
      <c r="A116" s="227"/>
      <c r="B116" s="228"/>
      <c r="C116" s="33"/>
      <c r="D116" s="33"/>
      <c r="E116" s="33"/>
      <c r="F116" s="65"/>
      <c r="G116" s="65"/>
      <c r="H116" s="65"/>
      <c r="I116" s="65"/>
      <c r="J116" s="65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spans="1:25" ht="15.75" customHeight="1">
      <c r="A117" s="1"/>
      <c r="B117" s="1"/>
      <c r="C117" s="33"/>
      <c r="D117" s="33"/>
      <c r="E117" s="33"/>
      <c r="F117" s="65"/>
      <c r="G117" s="65"/>
      <c r="H117" s="65"/>
      <c r="I117" s="65"/>
      <c r="J117" s="65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spans="1:25" ht="15.75" customHeight="1">
      <c r="A118" s="1"/>
      <c r="B118" s="1"/>
      <c r="C118" s="33"/>
      <c r="D118" s="33"/>
      <c r="E118" s="33"/>
      <c r="F118" s="65"/>
      <c r="G118" s="65"/>
      <c r="H118" s="65"/>
      <c r="I118" s="65"/>
      <c r="J118" s="65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spans="1:25" ht="15.75" customHeight="1">
      <c r="A119" s="1"/>
      <c r="B119" s="1"/>
      <c r="C119" s="33"/>
      <c r="D119" s="33"/>
      <c r="E119" s="33"/>
      <c r="F119" s="65"/>
      <c r="G119" s="65"/>
      <c r="H119" s="65"/>
      <c r="I119" s="65"/>
      <c r="J119" s="65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spans="1:25" ht="15.75" customHeight="1">
      <c r="A120" s="1"/>
      <c r="B120" s="1"/>
      <c r="C120" s="33"/>
      <c r="D120" s="33"/>
      <c r="E120" s="33"/>
      <c r="F120" s="65"/>
      <c r="G120" s="65"/>
      <c r="H120" s="65"/>
      <c r="I120" s="65"/>
      <c r="J120" s="65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spans="1:25" ht="15.75" customHeight="1">
      <c r="A121" s="1"/>
      <c r="B121" s="1"/>
      <c r="C121" s="33"/>
      <c r="D121" s="33"/>
      <c r="E121" s="33"/>
      <c r="F121" s="65"/>
      <c r="G121" s="65"/>
      <c r="H121" s="65"/>
      <c r="I121" s="65"/>
      <c r="J121" s="65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spans="1:25" ht="15.75" customHeight="1">
      <c r="A122" s="1"/>
      <c r="B122" s="1"/>
      <c r="C122" s="33"/>
      <c r="D122" s="33"/>
      <c r="E122" s="33"/>
      <c r="F122" s="65"/>
      <c r="G122" s="65"/>
      <c r="H122" s="65"/>
      <c r="I122" s="65"/>
      <c r="J122" s="65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spans="1:25" ht="15.75" customHeight="1">
      <c r="A123" s="1"/>
      <c r="B123" s="1"/>
      <c r="C123" s="33"/>
      <c r="D123" s="33"/>
      <c r="E123" s="33"/>
      <c r="F123" s="65"/>
      <c r="G123" s="65"/>
      <c r="H123" s="65"/>
      <c r="I123" s="65"/>
      <c r="J123" s="65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spans="1:25" ht="15.75" customHeight="1">
      <c r="A124" s="1"/>
      <c r="B124" s="1"/>
      <c r="C124" s="33"/>
      <c r="D124" s="33"/>
      <c r="E124" s="33"/>
      <c r="F124" s="65"/>
      <c r="G124" s="65"/>
      <c r="H124" s="65"/>
      <c r="I124" s="65"/>
      <c r="J124" s="65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spans="1:25" ht="15.75" customHeight="1">
      <c r="A125" s="1"/>
      <c r="B125" s="1"/>
      <c r="C125" s="33"/>
      <c r="D125" s="33"/>
      <c r="E125" s="33"/>
      <c r="F125" s="65"/>
      <c r="G125" s="65"/>
      <c r="H125" s="65"/>
      <c r="I125" s="65"/>
      <c r="J125" s="65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spans="1:25" ht="15.75" customHeight="1">
      <c r="A126" s="1"/>
      <c r="B126" s="1"/>
      <c r="C126" s="33"/>
      <c r="D126" s="33"/>
      <c r="E126" s="33"/>
      <c r="F126" s="65"/>
      <c r="G126" s="65"/>
      <c r="H126" s="65"/>
      <c r="I126" s="65"/>
      <c r="J126" s="65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spans="1:25" ht="15.75" customHeight="1">
      <c r="A127" s="1"/>
      <c r="B127" s="1"/>
      <c r="C127" s="33"/>
      <c r="D127" s="33"/>
      <c r="E127" s="33"/>
      <c r="F127" s="65"/>
      <c r="G127" s="65"/>
      <c r="H127" s="65"/>
      <c r="I127" s="65"/>
      <c r="J127" s="65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spans="1:25" ht="15.75" customHeight="1">
      <c r="A128" s="1"/>
      <c r="B128" s="1"/>
      <c r="C128" s="33"/>
      <c r="D128" s="33"/>
      <c r="E128" s="33"/>
      <c r="F128" s="65"/>
      <c r="G128" s="65"/>
      <c r="H128" s="65"/>
      <c r="I128" s="65"/>
      <c r="J128" s="65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spans="1:25" ht="15.75" customHeight="1">
      <c r="A129" s="1"/>
      <c r="B129" s="1"/>
      <c r="C129" s="33"/>
      <c r="D129" s="33"/>
      <c r="E129" s="33"/>
      <c r="F129" s="65"/>
      <c r="G129" s="65"/>
      <c r="H129" s="65"/>
      <c r="I129" s="65"/>
      <c r="J129" s="65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spans="1:25" ht="15.75" customHeight="1">
      <c r="A130" s="1"/>
      <c r="B130" s="1"/>
      <c r="C130" s="33"/>
      <c r="D130" s="33"/>
      <c r="E130" s="33"/>
      <c r="F130" s="65"/>
      <c r="G130" s="65"/>
      <c r="H130" s="65"/>
      <c r="I130" s="65"/>
      <c r="J130" s="65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spans="1:25" ht="15.75" customHeight="1">
      <c r="A131" s="1"/>
      <c r="B131" s="1"/>
      <c r="C131" s="33"/>
      <c r="D131" s="33"/>
      <c r="E131" s="33"/>
      <c r="F131" s="65"/>
      <c r="G131" s="65"/>
      <c r="H131" s="65"/>
      <c r="I131" s="65"/>
      <c r="J131" s="65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spans="1:25" ht="15.75" customHeight="1">
      <c r="A132" s="1"/>
      <c r="B132" s="1"/>
      <c r="C132" s="33"/>
      <c r="D132" s="33"/>
      <c r="E132" s="33"/>
      <c r="F132" s="65"/>
      <c r="G132" s="65"/>
      <c r="H132" s="65"/>
      <c r="I132" s="65"/>
      <c r="J132" s="65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spans="1:25" ht="15.75" customHeight="1">
      <c r="A133" s="1"/>
      <c r="B133" s="1"/>
      <c r="C133" s="33"/>
      <c r="D133" s="33"/>
      <c r="E133" s="33"/>
      <c r="F133" s="65"/>
      <c r="G133" s="65"/>
      <c r="H133" s="65"/>
      <c r="I133" s="65"/>
      <c r="J133" s="65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spans="1:25" ht="15.75" customHeight="1">
      <c r="A134" s="1"/>
      <c r="B134" s="1"/>
      <c r="C134" s="33"/>
      <c r="D134" s="33"/>
      <c r="E134" s="33"/>
      <c r="F134" s="65"/>
      <c r="G134" s="65"/>
      <c r="H134" s="65"/>
      <c r="I134" s="65"/>
      <c r="J134" s="65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spans="1:25" ht="15.75" customHeight="1">
      <c r="A135" s="1"/>
      <c r="B135" s="1"/>
      <c r="C135" s="33"/>
      <c r="D135" s="33"/>
      <c r="E135" s="33"/>
      <c r="F135" s="65"/>
      <c r="G135" s="65"/>
      <c r="H135" s="65"/>
      <c r="I135" s="65"/>
      <c r="J135" s="65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spans="1:25" ht="15.75" customHeight="1">
      <c r="A136" s="1"/>
      <c r="B136" s="1"/>
      <c r="C136" s="33"/>
      <c r="D136" s="33"/>
      <c r="E136" s="33"/>
      <c r="F136" s="65"/>
      <c r="G136" s="65"/>
      <c r="H136" s="65"/>
      <c r="I136" s="65"/>
      <c r="J136" s="65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spans="1:25" ht="15.75" customHeight="1">
      <c r="A137" s="1"/>
      <c r="B137" s="1"/>
      <c r="C137" s="33"/>
      <c r="D137" s="33"/>
      <c r="E137" s="33"/>
      <c r="F137" s="65"/>
      <c r="G137" s="65"/>
      <c r="H137" s="65"/>
      <c r="I137" s="65"/>
      <c r="J137" s="65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spans="1:25" ht="15.75" customHeight="1">
      <c r="A138" s="1"/>
      <c r="B138" s="1"/>
      <c r="C138" s="33"/>
      <c r="D138" s="33"/>
      <c r="E138" s="33"/>
      <c r="F138" s="65"/>
      <c r="G138" s="65"/>
      <c r="H138" s="65"/>
      <c r="I138" s="65"/>
      <c r="J138" s="65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spans="1:25" ht="15.75" customHeight="1">
      <c r="A139" s="1"/>
      <c r="B139" s="1"/>
      <c r="C139" s="33"/>
      <c r="D139" s="33"/>
      <c r="E139" s="33"/>
      <c r="F139" s="65"/>
      <c r="G139" s="65"/>
      <c r="H139" s="65"/>
      <c r="I139" s="65"/>
      <c r="J139" s="65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spans="1:25" ht="15.75" customHeight="1">
      <c r="A140" s="1"/>
      <c r="B140" s="1"/>
      <c r="C140" s="33"/>
      <c r="D140" s="33"/>
      <c r="E140" s="33"/>
      <c r="F140" s="65"/>
      <c r="G140" s="65"/>
      <c r="H140" s="65"/>
      <c r="I140" s="65"/>
      <c r="J140" s="65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spans="1:25" ht="15.75" customHeight="1">
      <c r="A141" s="1"/>
      <c r="B141" s="1"/>
      <c r="C141" s="33"/>
      <c r="D141" s="33"/>
      <c r="E141" s="33"/>
      <c r="F141" s="65"/>
      <c r="G141" s="65"/>
      <c r="H141" s="65"/>
      <c r="I141" s="65"/>
      <c r="J141" s="65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spans="1:25" ht="15.75" customHeight="1">
      <c r="A142" s="1"/>
      <c r="B142" s="1"/>
      <c r="C142" s="33"/>
      <c r="D142" s="33"/>
      <c r="E142" s="33"/>
      <c r="F142" s="65"/>
      <c r="G142" s="65"/>
      <c r="H142" s="65"/>
      <c r="I142" s="65"/>
      <c r="J142" s="65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spans="1:25" ht="15.75" customHeight="1">
      <c r="A143" s="1"/>
      <c r="B143" s="1"/>
      <c r="C143" s="33"/>
      <c r="D143" s="33"/>
      <c r="E143" s="33"/>
      <c r="F143" s="65"/>
      <c r="G143" s="65"/>
      <c r="H143" s="65"/>
      <c r="I143" s="65"/>
      <c r="J143" s="65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spans="1:25" ht="15.75" customHeight="1">
      <c r="A144" s="1"/>
      <c r="B144" s="1"/>
      <c r="C144" s="33"/>
      <c r="D144" s="33"/>
      <c r="E144" s="33"/>
      <c r="F144" s="65"/>
      <c r="G144" s="65"/>
      <c r="H144" s="65"/>
      <c r="I144" s="65"/>
      <c r="J144" s="65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spans="1:25" ht="15.75" customHeight="1">
      <c r="A145" s="1"/>
      <c r="B145" s="1"/>
      <c r="C145" s="33"/>
      <c r="D145" s="33"/>
      <c r="E145" s="33"/>
      <c r="F145" s="65"/>
      <c r="G145" s="65"/>
      <c r="H145" s="65"/>
      <c r="I145" s="65"/>
      <c r="J145" s="65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spans="1:25" ht="15.75" customHeight="1">
      <c r="A146" s="1"/>
      <c r="B146" s="1"/>
      <c r="C146" s="33"/>
      <c r="D146" s="33"/>
      <c r="E146" s="33"/>
      <c r="F146" s="65"/>
      <c r="G146" s="65"/>
      <c r="H146" s="65"/>
      <c r="I146" s="65"/>
      <c r="J146" s="65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spans="1:25" ht="15.75" customHeight="1">
      <c r="A147" s="1"/>
      <c r="B147" s="1"/>
      <c r="C147" s="33"/>
      <c r="D147" s="33"/>
      <c r="E147" s="33"/>
      <c r="F147" s="65"/>
      <c r="G147" s="65"/>
      <c r="H147" s="65"/>
      <c r="I147" s="65"/>
      <c r="J147" s="65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 ht="15.75" customHeight="1">
      <c r="A148" s="1"/>
      <c r="B148" s="1"/>
      <c r="C148" s="33"/>
      <c r="D148" s="33"/>
      <c r="E148" s="33"/>
      <c r="F148" s="65"/>
      <c r="G148" s="65"/>
      <c r="H148" s="65"/>
      <c r="I148" s="65"/>
      <c r="J148" s="65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spans="1:25" ht="15.75" customHeight="1">
      <c r="A149" s="1"/>
      <c r="B149" s="1"/>
      <c r="C149" s="33"/>
      <c r="D149" s="33"/>
      <c r="E149" s="33"/>
      <c r="F149" s="65"/>
      <c r="G149" s="65"/>
      <c r="H149" s="65"/>
      <c r="I149" s="65"/>
      <c r="J149" s="65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spans="1:25" ht="15.75" customHeight="1">
      <c r="A150" s="1"/>
      <c r="B150" s="1"/>
      <c r="C150" s="33"/>
      <c r="D150" s="33"/>
      <c r="E150" s="33"/>
      <c r="F150" s="65"/>
      <c r="G150" s="65"/>
      <c r="H150" s="65"/>
      <c r="I150" s="65"/>
      <c r="J150" s="65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spans="1:25" ht="15.75" customHeight="1">
      <c r="A151" s="1"/>
      <c r="B151" s="1"/>
      <c r="C151" s="33"/>
      <c r="D151" s="33"/>
      <c r="E151" s="33"/>
      <c r="F151" s="65"/>
      <c r="G151" s="65"/>
      <c r="H151" s="65"/>
      <c r="I151" s="65"/>
      <c r="J151" s="65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spans="1:25" ht="15.75" customHeight="1">
      <c r="A152" s="1"/>
      <c r="B152" s="1"/>
      <c r="C152" s="33"/>
      <c r="D152" s="33"/>
      <c r="E152" s="33"/>
      <c r="F152" s="65"/>
      <c r="G152" s="65"/>
      <c r="H152" s="65"/>
      <c r="I152" s="65"/>
      <c r="J152" s="65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spans="1:25" ht="15.75" customHeight="1">
      <c r="A153" s="1"/>
      <c r="B153" s="1"/>
      <c r="C153" s="33"/>
      <c r="D153" s="33"/>
      <c r="E153" s="33"/>
      <c r="F153" s="65"/>
      <c r="G153" s="65"/>
      <c r="H153" s="65"/>
      <c r="I153" s="65"/>
      <c r="J153" s="65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spans="1:25" ht="15.75" customHeight="1">
      <c r="A154" s="1"/>
      <c r="B154" s="1"/>
      <c r="C154" s="33"/>
      <c r="D154" s="33"/>
      <c r="E154" s="33"/>
      <c r="F154" s="65"/>
      <c r="G154" s="65"/>
      <c r="H154" s="65"/>
      <c r="I154" s="65"/>
      <c r="J154" s="65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spans="1:25" ht="15.75" customHeight="1">
      <c r="A155" s="1"/>
      <c r="B155" s="1"/>
      <c r="C155" s="33"/>
      <c r="D155" s="33"/>
      <c r="E155" s="33"/>
      <c r="F155" s="65"/>
      <c r="G155" s="65"/>
      <c r="H155" s="65"/>
      <c r="I155" s="65"/>
      <c r="J155" s="65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spans="1:25" ht="15.75" customHeight="1">
      <c r="A156" s="1"/>
      <c r="B156" s="1"/>
      <c r="C156" s="33"/>
      <c r="D156" s="33"/>
      <c r="E156" s="33"/>
      <c r="F156" s="65"/>
      <c r="G156" s="65"/>
      <c r="H156" s="65"/>
      <c r="I156" s="65"/>
      <c r="J156" s="65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spans="1:25" ht="15.75" customHeight="1">
      <c r="A157" s="1"/>
      <c r="B157" s="1"/>
      <c r="C157" s="33"/>
      <c r="D157" s="33"/>
      <c r="E157" s="33"/>
      <c r="F157" s="65"/>
      <c r="G157" s="65"/>
      <c r="H157" s="65"/>
      <c r="I157" s="65"/>
      <c r="J157" s="65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spans="1:25" ht="15.75" customHeight="1">
      <c r="A158" s="1"/>
      <c r="B158" s="1"/>
      <c r="C158" s="33"/>
      <c r="D158" s="33"/>
      <c r="E158" s="33"/>
      <c r="F158" s="65"/>
      <c r="G158" s="65"/>
      <c r="H158" s="65"/>
      <c r="I158" s="65"/>
      <c r="J158" s="65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spans="1:25" ht="15.75" customHeight="1">
      <c r="A159" s="1"/>
      <c r="B159" s="1"/>
      <c r="C159" s="33"/>
      <c r="D159" s="33"/>
      <c r="E159" s="33"/>
      <c r="F159" s="65"/>
      <c r="G159" s="65"/>
      <c r="H159" s="65"/>
      <c r="I159" s="65"/>
      <c r="J159" s="65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spans="1:25" ht="15.75" customHeight="1">
      <c r="A160" s="1"/>
      <c r="B160" s="1"/>
      <c r="C160" s="33"/>
      <c r="D160" s="33"/>
      <c r="E160" s="33"/>
      <c r="F160" s="65"/>
      <c r="G160" s="65"/>
      <c r="H160" s="65"/>
      <c r="I160" s="65"/>
      <c r="J160" s="65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spans="1:25" ht="15.75" customHeight="1">
      <c r="A161" s="1"/>
      <c r="B161" s="1"/>
      <c r="C161" s="33"/>
      <c r="D161" s="33"/>
      <c r="E161" s="33"/>
      <c r="F161" s="65"/>
      <c r="G161" s="65"/>
      <c r="H161" s="65"/>
      <c r="I161" s="65"/>
      <c r="J161" s="65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spans="1:25" ht="15.75" customHeight="1">
      <c r="A162" s="1"/>
      <c r="B162" s="1"/>
      <c r="C162" s="33"/>
      <c r="D162" s="33"/>
      <c r="E162" s="33"/>
      <c r="F162" s="65"/>
      <c r="G162" s="65"/>
      <c r="H162" s="65"/>
      <c r="I162" s="65"/>
      <c r="J162" s="65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spans="1:25" ht="15.75" customHeight="1">
      <c r="A163" s="1"/>
      <c r="B163" s="1"/>
      <c r="C163" s="33"/>
      <c r="D163" s="33"/>
      <c r="E163" s="33"/>
      <c r="F163" s="65"/>
      <c r="G163" s="65"/>
      <c r="H163" s="65"/>
      <c r="I163" s="65"/>
      <c r="J163" s="65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spans="1:25" ht="15.75" customHeight="1">
      <c r="A164" s="1"/>
      <c r="B164" s="1"/>
      <c r="C164" s="33"/>
      <c r="D164" s="33"/>
      <c r="E164" s="33"/>
      <c r="F164" s="65"/>
      <c r="G164" s="65"/>
      <c r="H164" s="65"/>
      <c r="I164" s="65"/>
      <c r="J164" s="65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spans="1:25" ht="15.75" customHeight="1">
      <c r="A165" s="1"/>
      <c r="B165" s="1"/>
      <c r="C165" s="33"/>
      <c r="D165" s="33"/>
      <c r="E165" s="33"/>
      <c r="F165" s="65"/>
      <c r="G165" s="65"/>
      <c r="H165" s="65"/>
      <c r="I165" s="65"/>
      <c r="J165" s="65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spans="1:25" ht="15.75" customHeight="1">
      <c r="A166" s="1"/>
      <c r="B166" s="1"/>
      <c r="C166" s="33"/>
      <c r="D166" s="33"/>
      <c r="E166" s="33"/>
      <c r="F166" s="65"/>
      <c r="G166" s="65"/>
      <c r="H166" s="65"/>
      <c r="I166" s="65"/>
      <c r="J166" s="65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spans="1:25" ht="15.75" customHeight="1">
      <c r="A167" s="1"/>
      <c r="B167" s="1"/>
      <c r="C167" s="33"/>
      <c r="D167" s="33"/>
      <c r="E167" s="33"/>
      <c r="F167" s="65"/>
      <c r="G167" s="65"/>
      <c r="H167" s="65"/>
      <c r="I167" s="65"/>
      <c r="J167" s="65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spans="1:25" ht="15.75" customHeight="1">
      <c r="A168" s="1"/>
      <c r="B168" s="1"/>
      <c r="C168" s="33"/>
      <c r="D168" s="33"/>
      <c r="E168" s="33"/>
      <c r="F168" s="65"/>
      <c r="G168" s="65"/>
      <c r="H168" s="65"/>
      <c r="I168" s="65"/>
      <c r="J168" s="65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spans="1:25" ht="15.75" customHeight="1">
      <c r="A169" s="1"/>
      <c r="B169" s="1"/>
      <c r="C169" s="33"/>
      <c r="D169" s="33"/>
      <c r="E169" s="33"/>
      <c r="F169" s="65"/>
      <c r="G169" s="65"/>
      <c r="H169" s="65"/>
      <c r="I169" s="65"/>
      <c r="J169" s="65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spans="1:25" ht="15.75" customHeight="1">
      <c r="A170" s="1"/>
      <c r="B170" s="1"/>
      <c r="C170" s="33"/>
      <c r="D170" s="33"/>
      <c r="E170" s="33"/>
      <c r="F170" s="65"/>
      <c r="G170" s="65"/>
      <c r="H170" s="65"/>
      <c r="I170" s="65"/>
      <c r="J170" s="65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spans="1:25" ht="15.75" customHeight="1">
      <c r="A171" s="1"/>
      <c r="B171" s="1"/>
      <c r="C171" s="33"/>
      <c r="D171" s="33"/>
      <c r="E171" s="33"/>
      <c r="F171" s="65"/>
      <c r="G171" s="65"/>
      <c r="H171" s="65"/>
      <c r="I171" s="65"/>
      <c r="J171" s="65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spans="1:25" ht="15.75" customHeight="1">
      <c r="A172" s="1"/>
      <c r="B172" s="1"/>
      <c r="C172" s="33"/>
      <c r="D172" s="33"/>
      <c r="E172" s="33"/>
      <c r="F172" s="65"/>
      <c r="G172" s="65"/>
      <c r="H172" s="65"/>
      <c r="I172" s="65"/>
      <c r="J172" s="65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spans="1:25" ht="15.75" customHeight="1">
      <c r="A173" s="1"/>
      <c r="B173" s="1"/>
      <c r="C173" s="33"/>
      <c r="D173" s="33"/>
      <c r="E173" s="33"/>
      <c r="F173" s="65"/>
      <c r="G173" s="65"/>
      <c r="H173" s="65"/>
      <c r="I173" s="65"/>
      <c r="J173" s="65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spans="1:25" ht="15.75" customHeight="1">
      <c r="A174" s="1"/>
      <c r="B174" s="1"/>
      <c r="C174" s="33"/>
      <c r="D174" s="33"/>
      <c r="E174" s="33"/>
      <c r="F174" s="65"/>
      <c r="G174" s="65"/>
      <c r="H174" s="65"/>
      <c r="I174" s="65"/>
      <c r="J174" s="65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spans="1:25" ht="15.75" customHeight="1">
      <c r="A175" s="1"/>
      <c r="B175" s="1"/>
      <c r="C175" s="33"/>
      <c r="D175" s="33"/>
      <c r="E175" s="33"/>
      <c r="F175" s="65"/>
      <c r="G175" s="65"/>
      <c r="H175" s="65"/>
      <c r="I175" s="65"/>
      <c r="J175" s="65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spans="1:25" ht="15.75" customHeight="1">
      <c r="A176" s="1"/>
      <c r="B176" s="1"/>
      <c r="C176" s="33"/>
      <c r="D176" s="33"/>
      <c r="E176" s="33"/>
      <c r="F176" s="65"/>
      <c r="G176" s="65"/>
      <c r="H176" s="65"/>
      <c r="I176" s="65"/>
      <c r="J176" s="65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 ht="15.75" customHeight="1">
      <c r="A177" s="1"/>
      <c r="B177" s="1"/>
      <c r="C177" s="33"/>
      <c r="D177" s="33"/>
      <c r="E177" s="33"/>
      <c r="F177" s="65"/>
      <c r="G177" s="65"/>
      <c r="H177" s="65"/>
      <c r="I177" s="65"/>
      <c r="J177" s="65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spans="1:25" ht="15.75" customHeight="1">
      <c r="A178" s="1"/>
      <c r="B178" s="1"/>
      <c r="C178" s="33"/>
      <c r="D178" s="33"/>
      <c r="E178" s="33"/>
      <c r="F178" s="65"/>
      <c r="G178" s="65"/>
      <c r="H178" s="65"/>
      <c r="I178" s="65"/>
      <c r="J178" s="65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spans="1:25" ht="15.75" customHeight="1">
      <c r="A179" s="1"/>
      <c r="B179" s="1"/>
      <c r="C179" s="33"/>
      <c r="D179" s="33"/>
      <c r="E179" s="33"/>
      <c r="F179" s="65"/>
      <c r="G179" s="65"/>
      <c r="H179" s="65"/>
      <c r="I179" s="65"/>
      <c r="J179" s="65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spans="1:25" ht="15.75" customHeight="1">
      <c r="A180" s="1"/>
      <c r="B180" s="1"/>
      <c r="C180" s="33"/>
      <c r="D180" s="33"/>
      <c r="E180" s="33"/>
      <c r="F180" s="65"/>
      <c r="G180" s="65"/>
      <c r="H180" s="65"/>
      <c r="I180" s="65"/>
      <c r="J180" s="65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spans="1:25" ht="15.75" customHeight="1">
      <c r="A181" s="1"/>
      <c r="B181" s="1"/>
      <c r="C181" s="33"/>
      <c r="D181" s="33"/>
      <c r="E181" s="33"/>
      <c r="F181" s="65"/>
      <c r="G181" s="65"/>
      <c r="H181" s="65"/>
      <c r="I181" s="65"/>
      <c r="J181" s="65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spans="1:25" ht="15.75" customHeight="1">
      <c r="A182" s="1"/>
      <c r="B182" s="1"/>
      <c r="C182" s="33"/>
      <c r="D182" s="33"/>
      <c r="E182" s="33"/>
      <c r="F182" s="65"/>
      <c r="G182" s="65"/>
      <c r="H182" s="65"/>
      <c r="I182" s="65"/>
      <c r="J182" s="65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spans="1:25" ht="15.75" customHeight="1">
      <c r="A183" s="1"/>
      <c r="B183" s="1"/>
      <c r="C183" s="33"/>
      <c r="D183" s="33"/>
      <c r="E183" s="33"/>
      <c r="F183" s="65"/>
      <c r="G183" s="65"/>
      <c r="H183" s="65"/>
      <c r="I183" s="65"/>
      <c r="J183" s="65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spans="1:25" ht="15.75" customHeight="1">
      <c r="A184" s="1"/>
      <c r="B184" s="1"/>
      <c r="C184" s="33"/>
      <c r="D184" s="33"/>
      <c r="E184" s="33"/>
      <c r="F184" s="65"/>
      <c r="G184" s="65"/>
      <c r="H184" s="65"/>
      <c r="I184" s="65"/>
      <c r="J184" s="65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spans="1:25" ht="15.75" customHeight="1">
      <c r="A185" s="1"/>
      <c r="B185" s="1"/>
      <c r="C185" s="33"/>
      <c r="D185" s="33"/>
      <c r="E185" s="33"/>
      <c r="F185" s="65"/>
      <c r="G185" s="65"/>
      <c r="H185" s="65"/>
      <c r="I185" s="65"/>
      <c r="J185" s="65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spans="1:25" ht="15.75" customHeight="1">
      <c r="A186" s="1"/>
      <c r="B186" s="1"/>
      <c r="C186" s="33"/>
      <c r="D186" s="33"/>
      <c r="E186" s="33"/>
      <c r="F186" s="65"/>
      <c r="G186" s="65"/>
      <c r="H186" s="65"/>
      <c r="I186" s="65"/>
      <c r="J186" s="65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spans="1:25" ht="15.75" customHeight="1">
      <c r="A187" s="1"/>
      <c r="B187" s="1"/>
      <c r="C187" s="33"/>
      <c r="D187" s="33"/>
      <c r="E187" s="33"/>
      <c r="F187" s="65"/>
      <c r="G187" s="65"/>
      <c r="H187" s="65"/>
      <c r="I187" s="65"/>
      <c r="J187" s="65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spans="1:25" ht="15.75" customHeight="1">
      <c r="A188" s="1"/>
      <c r="B188" s="1"/>
      <c r="C188" s="33"/>
      <c r="D188" s="33"/>
      <c r="E188" s="33"/>
      <c r="F188" s="65"/>
      <c r="G188" s="65"/>
      <c r="H188" s="65"/>
      <c r="I188" s="65"/>
      <c r="J188" s="65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spans="1:25" ht="15.75" customHeight="1">
      <c r="A189" s="1"/>
      <c r="B189" s="1"/>
      <c r="C189" s="33"/>
      <c r="D189" s="33"/>
      <c r="E189" s="33"/>
      <c r="F189" s="65"/>
      <c r="G189" s="65"/>
      <c r="H189" s="65"/>
      <c r="I189" s="65"/>
      <c r="J189" s="65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spans="1:25" ht="15.75" customHeight="1">
      <c r="A190" s="1"/>
      <c r="B190" s="1"/>
      <c r="C190" s="33"/>
      <c r="D190" s="33"/>
      <c r="E190" s="33"/>
      <c r="F190" s="65"/>
      <c r="G190" s="65"/>
      <c r="H190" s="65"/>
      <c r="I190" s="65"/>
      <c r="J190" s="65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spans="1:25" ht="15.75" customHeight="1">
      <c r="A191" s="1"/>
      <c r="B191" s="1"/>
      <c r="C191" s="33"/>
      <c r="D191" s="33"/>
      <c r="E191" s="33"/>
      <c r="F191" s="65"/>
      <c r="G191" s="65"/>
      <c r="H191" s="65"/>
      <c r="I191" s="65"/>
      <c r="J191" s="65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spans="1:25" ht="15.75" customHeight="1">
      <c r="A192" s="1"/>
      <c r="B192" s="1"/>
      <c r="C192" s="33"/>
      <c r="D192" s="33"/>
      <c r="E192" s="33"/>
      <c r="F192" s="65"/>
      <c r="G192" s="65"/>
      <c r="H192" s="65"/>
      <c r="I192" s="65"/>
      <c r="J192" s="65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spans="1:25" ht="15.75" customHeight="1">
      <c r="A193" s="1"/>
      <c r="B193" s="1"/>
      <c r="C193" s="33"/>
      <c r="D193" s="33"/>
      <c r="E193" s="33"/>
      <c r="F193" s="65"/>
      <c r="G193" s="65"/>
      <c r="H193" s="65"/>
      <c r="I193" s="65"/>
      <c r="J193" s="65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spans="1:25" ht="15.75" customHeight="1">
      <c r="A194" s="1"/>
      <c r="B194" s="1"/>
      <c r="C194" s="33"/>
      <c r="D194" s="33"/>
      <c r="E194" s="33"/>
      <c r="F194" s="65"/>
      <c r="G194" s="65"/>
      <c r="H194" s="65"/>
      <c r="I194" s="65"/>
      <c r="J194" s="65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spans="1:25" ht="15.75" customHeight="1">
      <c r="A195" s="1"/>
      <c r="B195" s="1"/>
      <c r="C195" s="33"/>
      <c r="D195" s="33"/>
      <c r="E195" s="33"/>
      <c r="F195" s="65"/>
      <c r="G195" s="65"/>
      <c r="H195" s="65"/>
      <c r="I195" s="65"/>
      <c r="J195" s="65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spans="1:25" ht="15.75" customHeight="1">
      <c r="A196" s="1"/>
      <c r="B196" s="1"/>
      <c r="C196" s="33"/>
      <c r="D196" s="33"/>
      <c r="E196" s="33"/>
      <c r="F196" s="65"/>
      <c r="G196" s="65"/>
      <c r="H196" s="65"/>
      <c r="I196" s="65"/>
      <c r="J196" s="65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spans="1:25" ht="15.75" customHeight="1">
      <c r="A197" s="1"/>
      <c r="B197" s="1"/>
      <c r="C197" s="33"/>
      <c r="D197" s="33"/>
      <c r="E197" s="33"/>
      <c r="F197" s="65"/>
      <c r="G197" s="65"/>
      <c r="H197" s="65"/>
      <c r="I197" s="65"/>
      <c r="J197" s="65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spans="1:25" ht="15.75" customHeight="1">
      <c r="A198" s="1"/>
      <c r="B198" s="1"/>
      <c r="C198" s="33"/>
      <c r="D198" s="33"/>
      <c r="E198" s="33"/>
      <c r="F198" s="65"/>
      <c r="G198" s="65"/>
      <c r="H198" s="65"/>
      <c r="I198" s="65"/>
      <c r="J198" s="65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spans="1:25" ht="15.75" customHeight="1">
      <c r="A199" s="1"/>
      <c r="B199" s="1"/>
      <c r="C199" s="33"/>
      <c r="D199" s="33"/>
      <c r="E199" s="33"/>
      <c r="F199" s="65"/>
      <c r="G199" s="65"/>
      <c r="H199" s="65"/>
      <c r="I199" s="65"/>
      <c r="J199" s="65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spans="1:25" ht="15.75" customHeight="1">
      <c r="A200" s="1"/>
      <c r="B200" s="1"/>
      <c r="C200" s="33"/>
      <c r="D200" s="33"/>
      <c r="E200" s="33"/>
      <c r="F200" s="65"/>
      <c r="G200" s="65"/>
      <c r="H200" s="65"/>
      <c r="I200" s="65"/>
      <c r="J200" s="65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spans="1:25" ht="15.75" customHeight="1">
      <c r="A201" s="1"/>
      <c r="B201" s="1"/>
      <c r="C201" s="33"/>
      <c r="D201" s="33"/>
      <c r="E201" s="33"/>
      <c r="F201" s="65"/>
      <c r="G201" s="65"/>
      <c r="H201" s="65"/>
      <c r="I201" s="65"/>
      <c r="J201" s="65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spans="1:25" ht="15.75" customHeight="1">
      <c r="A202" s="1"/>
      <c r="B202" s="1"/>
      <c r="C202" s="33"/>
      <c r="D202" s="33"/>
      <c r="E202" s="33"/>
      <c r="F202" s="65"/>
      <c r="G202" s="65"/>
      <c r="H202" s="65"/>
      <c r="I202" s="65"/>
      <c r="J202" s="65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spans="1:25" ht="15.75" customHeight="1">
      <c r="A203" s="1"/>
      <c r="B203" s="1"/>
      <c r="C203" s="33"/>
      <c r="D203" s="33"/>
      <c r="E203" s="33"/>
      <c r="F203" s="65"/>
      <c r="G203" s="65"/>
      <c r="H203" s="65"/>
      <c r="I203" s="65"/>
      <c r="J203" s="65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spans="1:25" ht="15.75" customHeight="1">
      <c r="A204" s="1"/>
      <c r="B204" s="1"/>
      <c r="C204" s="33"/>
      <c r="D204" s="33"/>
      <c r="E204" s="33"/>
      <c r="F204" s="65"/>
      <c r="G204" s="65"/>
      <c r="H204" s="65"/>
      <c r="I204" s="65"/>
      <c r="J204" s="65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spans="1:25" ht="15.75" customHeight="1">
      <c r="A205" s="1"/>
      <c r="B205" s="1"/>
      <c r="C205" s="33"/>
      <c r="D205" s="33"/>
      <c r="E205" s="33"/>
      <c r="F205" s="65"/>
      <c r="G205" s="65"/>
      <c r="H205" s="65"/>
      <c r="I205" s="65"/>
      <c r="J205" s="65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spans="1:25" ht="15.75" customHeight="1">
      <c r="A206" s="1"/>
      <c r="B206" s="1"/>
      <c r="C206" s="33"/>
      <c r="D206" s="33"/>
      <c r="E206" s="33"/>
      <c r="F206" s="65"/>
      <c r="G206" s="65"/>
      <c r="H206" s="65"/>
      <c r="I206" s="65"/>
      <c r="J206" s="65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spans="1:25" ht="15.75" customHeight="1">
      <c r="A207" s="1"/>
      <c r="B207" s="1"/>
      <c r="C207" s="33"/>
      <c r="D207" s="33"/>
      <c r="E207" s="33"/>
      <c r="F207" s="65"/>
      <c r="G207" s="65"/>
      <c r="H207" s="65"/>
      <c r="I207" s="65"/>
      <c r="J207" s="65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spans="1:25" ht="15.75" customHeight="1">
      <c r="A208" s="1"/>
      <c r="B208" s="1"/>
      <c r="C208" s="33"/>
      <c r="D208" s="33"/>
      <c r="E208" s="33"/>
      <c r="F208" s="65"/>
      <c r="G208" s="65"/>
      <c r="H208" s="65"/>
      <c r="I208" s="65"/>
      <c r="J208" s="65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spans="1:25" ht="15.75" customHeight="1">
      <c r="A209" s="1"/>
      <c r="B209" s="1"/>
      <c r="C209" s="33"/>
      <c r="D209" s="33"/>
      <c r="E209" s="33"/>
      <c r="F209" s="65"/>
      <c r="G209" s="65"/>
      <c r="H209" s="65"/>
      <c r="I209" s="65"/>
      <c r="J209" s="65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spans="1:25" ht="15.75" customHeight="1">
      <c r="A210" s="1"/>
      <c r="B210" s="1"/>
      <c r="C210" s="33"/>
      <c r="D210" s="33"/>
      <c r="E210" s="33"/>
      <c r="F210" s="65"/>
      <c r="G210" s="65"/>
      <c r="H210" s="65"/>
      <c r="I210" s="65"/>
      <c r="J210" s="65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spans="1:25" ht="15.75" customHeight="1">
      <c r="A211" s="1"/>
      <c r="B211" s="1"/>
      <c r="C211" s="33"/>
      <c r="D211" s="33"/>
      <c r="E211" s="33"/>
      <c r="F211" s="65"/>
      <c r="G211" s="65"/>
      <c r="H211" s="65"/>
      <c r="I211" s="65"/>
      <c r="J211" s="65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spans="1:25" ht="15.75" customHeight="1">
      <c r="A212" s="1"/>
      <c r="B212" s="1"/>
      <c r="C212" s="33"/>
      <c r="D212" s="33"/>
      <c r="E212" s="33"/>
      <c r="F212" s="65"/>
      <c r="G212" s="65"/>
      <c r="H212" s="65"/>
      <c r="I212" s="65"/>
      <c r="J212" s="65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spans="1:25" ht="15.75" customHeight="1">
      <c r="A213" s="1"/>
      <c r="B213" s="1"/>
      <c r="C213" s="33"/>
      <c r="D213" s="33"/>
      <c r="E213" s="33"/>
      <c r="F213" s="65"/>
      <c r="G213" s="65"/>
      <c r="H213" s="65"/>
      <c r="I213" s="65"/>
      <c r="J213" s="65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spans="1:25" ht="15.75" customHeight="1">
      <c r="A214" s="1"/>
      <c r="B214" s="1"/>
      <c r="C214" s="33"/>
      <c r="D214" s="33"/>
      <c r="E214" s="33"/>
      <c r="F214" s="65"/>
      <c r="G214" s="65"/>
      <c r="H214" s="65"/>
      <c r="I214" s="65"/>
      <c r="J214" s="65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spans="1:25" ht="15.75" customHeight="1">
      <c r="A215" s="1"/>
      <c r="B215" s="1"/>
      <c r="C215" s="33"/>
      <c r="D215" s="33"/>
      <c r="E215" s="33"/>
      <c r="F215" s="65"/>
      <c r="G215" s="65"/>
      <c r="H215" s="65"/>
      <c r="I215" s="65"/>
      <c r="J215" s="65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spans="1:25" ht="15.75" customHeight="1">
      <c r="A216" s="1"/>
      <c r="B216" s="1"/>
      <c r="C216" s="33"/>
      <c r="D216" s="33"/>
      <c r="E216" s="33"/>
      <c r="F216" s="65"/>
      <c r="G216" s="65"/>
      <c r="H216" s="65"/>
      <c r="I216" s="65"/>
      <c r="J216" s="65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spans="1:25" ht="15.75" customHeight="1">
      <c r="A217" s="1"/>
      <c r="B217" s="1"/>
      <c r="C217" s="33"/>
      <c r="D217" s="33"/>
      <c r="E217" s="33"/>
      <c r="F217" s="65"/>
      <c r="G217" s="65"/>
      <c r="H217" s="65"/>
      <c r="I217" s="65"/>
      <c r="J217" s="65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spans="1:25" ht="15.75" customHeight="1">
      <c r="A218" s="1"/>
      <c r="B218" s="1"/>
      <c r="C218" s="33"/>
      <c r="D218" s="33"/>
      <c r="E218" s="33"/>
      <c r="F218" s="65"/>
      <c r="G218" s="65"/>
      <c r="H218" s="65"/>
      <c r="I218" s="65"/>
      <c r="J218" s="65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spans="1:25" ht="15.75" customHeight="1">
      <c r="A219" s="1"/>
      <c r="B219" s="1"/>
      <c r="C219" s="33"/>
      <c r="D219" s="33"/>
      <c r="E219" s="33"/>
      <c r="F219" s="65"/>
      <c r="G219" s="65"/>
      <c r="H219" s="65"/>
      <c r="I219" s="65"/>
      <c r="J219" s="65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spans="1:25" ht="15.75" customHeight="1">
      <c r="A220" s="1"/>
      <c r="B220" s="1"/>
      <c r="C220" s="33"/>
      <c r="D220" s="33"/>
      <c r="E220" s="33"/>
      <c r="F220" s="65"/>
      <c r="G220" s="65"/>
      <c r="H220" s="65"/>
      <c r="I220" s="65"/>
      <c r="J220" s="65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spans="1:25" ht="15.75" customHeight="1">
      <c r="A221" s="1"/>
      <c r="B221" s="1"/>
      <c r="C221" s="33"/>
      <c r="D221" s="33"/>
      <c r="E221" s="33"/>
      <c r="F221" s="65"/>
      <c r="G221" s="65"/>
      <c r="H221" s="65"/>
      <c r="I221" s="65"/>
      <c r="J221" s="65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spans="1:25" ht="15.75" customHeight="1">
      <c r="A222" s="1"/>
      <c r="B222" s="1"/>
      <c r="C222" s="33"/>
      <c r="D222" s="33"/>
      <c r="E222" s="33"/>
      <c r="F222" s="65"/>
      <c r="G222" s="65"/>
      <c r="H222" s="65"/>
      <c r="I222" s="65"/>
      <c r="J222" s="65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spans="1:25" ht="15.75" customHeight="1">
      <c r="A223" s="1"/>
      <c r="B223" s="1"/>
      <c r="C223" s="33"/>
      <c r="D223" s="33"/>
      <c r="E223" s="33"/>
      <c r="F223" s="65"/>
      <c r="G223" s="65"/>
      <c r="H223" s="65"/>
      <c r="I223" s="65"/>
      <c r="J223" s="65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spans="1:25" ht="15.75" customHeight="1">
      <c r="A224" s="1"/>
      <c r="B224" s="1"/>
      <c r="C224" s="33"/>
      <c r="D224" s="33"/>
      <c r="E224" s="33"/>
      <c r="F224" s="65"/>
      <c r="G224" s="65"/>
      <c r="H224" s="65"/>
      <c r="I224" s="65"/>
      <c r="J224" s="65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ht="15.75" customHeight="1">
      <c r="A225" s="1"/>
      <c r="B225" s="1"/>
      <c r="C225" s="33"/>
      <c r="D225" s="33"/>
      <c r="E225" s="33"/>
      <c r="F225" s="65"/>
      <c r="G225" s="65"/>
      <c r="H225" s="65"/>
      <c r="I225" s="65"/>
      <c r="J225" s="65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spans="1:25" ht="15.75" customHeight="1">
      <c r="A226" s="1"/>
      <c r="B226" s="1"/>
      <c r="C226" s="33"/>
      <c r="D226" s="33"/>
      <c r="E226" s="33"/>
      <c r="F226" s="65"/>
      <c r="G226" s="65"/>
      <c r="H226" s="65"/>
      <c r="I226" s="65"/>
      <c r="J226" s="65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spans="1:25" ht="15.75" customHeight="1">
      <c r="A227" s="1"/>
      <c r="B227" s="1"/>
      <c r="C227" s="33"/>
      <c r="D227" s="33"/>
      <c r="E227" s="33"/>
      <c r="F227" s="65"/>
      <c r="G227" s="65"/>
      <c r="H227" s="65"/>
      <c r="I227" s="65"/>
      <c r="J227" s="65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spans="1:25" ht="15.75" customHeight="1">
      <c r="A228" s="1"/>
      <c r="B228" s="1"/>
      <c r="C228" s="33"/>
      <c r="D228" s="33"/>
      <c r="E228" s="33"/>
      <c r="F228" s="65"/>
      <c r="G228" s="65"/>
      <c r="H228" s="65"/>
      <c r="I228" s="65"/>
      <c r="J228" s="65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spans="1:25" ht="15.75" customHeight="1">
      <c r="A229" s="1"/>
      <c r="B229" s="1"/>
      <c r="C229" s="33"/>
      <c r="D229" s="33"/>
      <c r="E229" s="33"/>
      <c r="F229" s="65"/>
      <c r="G229" s="65"/>
      <c r="H229" s="65"/>
      <c r="I229" s="65"/>
      <c r="J229" s="65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spans="1:25" ht="15.75" customHeight="1">
      <c r="A230" s="1"/>
      <c r="B230" s="1"/>
      <c r="C230" s="33"/>
      <c r="D230" s="33"/>
      <c r="E230" s="33"/>
      <c r="F230" s="65"/>
      <c r="G230" s="65"/>
      <c r="H230" s="65"/>
      <c r="I230" s="65"/>
      <c r="J230" s="65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spans="1:25" ht="15.75" customHeight="1">
      <c r="A231" s="1"/>
      <c r="B231" s="1"/>
      <c r="C231" s="33"/>
      <c r="D231" s="33"/>
      <c r="E231" s="33"/>
      <c r="F231" s="65"/>
      <c r="G231" s="65"/>
      <c r="H231" s="65"/>
      <c r="I231" s="65"/>
      <c r="J231" s="65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spans="1:25" ht="15.75" customHeight="1">
      <c r="A232" s="1"/>
      <c r="B232" s="1"/>
      <c r="C232" s="33"/>
      <c r="D232" s="33"/>
      <c r="E232" s="33"/>
      <c r="F232" s="65"/>
      <c r="G232" s="65"/>
      <c r="H232" s="65"/>
      <c r="I232" s="65"/>
      <c r="J232" s="65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spans="1:25" ht="15.75" customHeight="1">
      <c r="A233" s="1"/>
      <c r="B233" s="1"/>
      <c r="C233" s="33"/>
      <c r="D233" s="33"/>
      <c r="E233" s="33"/>
      <c r="F233" s="65"/>
      <c r="G233" s="65"/>
      <c r="H233" s="65"/>
      <c r="I233" s="65"/>
      <c r="J233" s="65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spans="1:25" ht="15.75" customHeight="1">
      <c r="A234" s="1"/>
      <c r="B234" s="1"/>
      <c r="C234" s="33"/>
      <c r="D234" s="33"/>
      <c r="E234" s="33"/>
      <c r="F234" s="65"/>
      <c r="G234" s="65"/>
      <c r="H234" s="65"/>
      <c r="I234" s="65"/>
      <c r="J234" s="65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spans="1:25" ht="15.75" customHeight="1">
      <c r="A235" s="1"/>
      <c r="B235" s="1"/>
      <c r="C235" s="33"/>
      <c r="D235" s="33"/>
      <c r="E235" s="33"/>
      <c r="F235" s="65"/>
      <c r="G235" s="65"/>
      <c r="H235" s="65"/>
      <c r="I235" s="65"/>
      <c r="J235" s="65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spans="1:25" ht="15.75" customHeight="1">
      <c r="A236" s="1"/>
      <c r="B236" s="1"/>
      <c r="C236" s="33"/>
      <c r="D236" s="33"/>
      <c r="E236" s="33"/>
      <c r="F236" s="65"/>
      <c r="G236" s="65"/>
      <c r="H236" s="65"/>
      <c r="I236" s="65"/>
      <c r="J236" s="65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spans="1:25" ht="15.75" customHeight="1">
      <c r="A237" s="1"/>
      <c r="B237" s="1"/>
      <c r="C237" s="33"/>
      <c r="D237" s="33"/>
      <c r="E237" s="33"/>
      <c r="F237" s="65"/>
      <c r="G237" s="65"/>
      <c r="H237" s="65"/>
      <c r="I237" s="65"/>
      <c r="J237" s="65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spans="1:25" ht="15.75" customHeight="1">
      <c r="A238" s="1"/>
      <c r="B238" s="1"/>
      <c r="C238" s="33"/>
      <c r="D238" s="33"/>
      <c r="E238" s="33"/>
      <c r="F238" s="65"/>
      <c r="G238" s="65"/>
      <c r="H238" s="65"/>
      <c r="I238" s="65"/>
      <c r="J238" s="65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spans="1:25" ht="15.75" customHeight="1">
      <c r="A239" s="1"/>
      <c r="B239" s="1"/>
      <c r="C239" s="33"/>
      <c r="D239" s="33"/>
      <c r="E239" s="33"/>
      <c r="F239" s="65"/>
      <c r="G239" s="65"/>
      <c r="H239" s="65"/>
      <c r="I239" s="65"/>
      <c r="J239" s="65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spans="1:25" ht="15.75" customHeight="1">
      <c r="A240" s="1"/>
      <c r="B240" s="1"/>
      <c r="C240" s="33"/>
      <c r="D240" s="33"/>
      <c r="E240" s="33"/>
      <c r="F240" s="65"/>
      <c r="G240" s="65"/>
      <c r="H240" s="65"/>
      <c r="I240" s="65"/>
      <c r="J240" s="65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spans="1:25" ht="15.75" customHeight="1">
      <c r="A241" s="1"/>
      <c r="B241" s="1"/>
      <c r="C241" s="33"/>
      <c r="D241" s="33"/>
      <c r="E241" s="33"/>
      <c r="F241" s="65"/>
      <c r="G241" s="65"/>
      <c r="H241" s="65"/>
      <c r="I241" s="65"/>
      <c r="J241" s="65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spans="1:25" ht="15.75" customHeight="1">
      <c r="A242" s="1"/>
      <c r="B242" s="1"/>
      <c r="C242" s="33"/>
      <c r="D242" s="33"/>
      <c r="E242" s="33"/>
      <c r="F242" s="65"/>
      <c r="G242" s="65"/>
      <c r="H242" s="65"/>
      <c r="I242" s="65"/>
      <c r="J242" s="65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spans="1:25" ht="15.75" customHeight="1">
      <c r="A243" s="1"/>
      <c r="B243" s="1"/>
      <c r="C243" s="33"/>
      <c r="D243" s="33"/>
      <c r="E243" s="33"/>
      <c r="F243" s="65"/>
      <c r="G243" s="65"/>
      <c r="H243" s="65"/>
      <c r="I243" s="65"/>
      <c r="J243" s="65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spans="1:25" ht="15.75" customHeight="1">
      <c r="A244" s="1"/>
      <c r="B244" s="1"/>
      <c r="C244" s="33"/>
      <c r="D244" s="33"/>
      <c r="E244" s="33"/>
      <c r="F244" s="65"/>
      <c r="G244" s="65"/>
      <c r="H244" s="65"/>
      <c r="I244" s="65"/>
      <c r="J244" s="65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spans="1:25" ht="15.75" customHeight="1">
      <c r="A245" s="1"/>
      <c r="B245" s="1"/>
      <c r="C245" s="33"/>
      <c r="D245" s="33"/>
      <c r="E245" s="33"/>
      <c r="F245" s="65"/>
      <c r="G245" s="65"/>
      <c r="H245" s="65"/>
      <c r="I245" s="65"/>
      <c r="J245" s="65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spans="1:25" ht="15.75" customHeight="1">
      <c r="A246" s="1"/>
      <c r="B246" s="1"/>
      <c r="C246" s="33"/>
      <c r="D246" s="33"/>
      <c r="E246" s="33"/>
      <c r="F246" s="65"/>
      <c r="G246" s="65"/>
      <c r="H246" s="65"/>
      <c r="I246" s="65"/>
      <c r="J246" s="65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spans="1:25" ht="15.75" customHeight="1">
      <c r="A247" s="1"/>
      <c r="B247" s="1"/>
      <c r="C247" s="33"/>
      <c r="D247" s="33"/>
      <c r="E247" s="33"/>
      <c r="F247" s="65"/>
      <c r="G247" s="65"/>
      <c r="H247" s="65"/>
      <c r="I247" s="65"/>
      <c r="J247" s="65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spans="1:25" ht="15.75" customHeight="1">
      <c r="A248" s="1"/>
      <c r="B248" s="1"/>
      <c r="C248" s="33"/>
      <c r="D248" s="33"/>
      <c r="E248" s="33"/>
      <c r="F248" s="65"/>
      <c r="G248" s="65"/>
      <c r="H248" s="65"/>
      <c r="I248" s="65"/>
      <c r="J248" s="65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spans="1:25" ht="15.75" customHeight="1">
      <c r="A249" s="1"/>
      <c r="B249" s="1"/>
      <c r="C249" s="33"/>
      <c r="D249" s="33"/>
      <c r="E249" s="33"/>
      <c r="F249" s="65"/>
      <c r="G249" s="65"/>
      <c r="H249" s="65"/>
      <c r="I249" s="65"/>
      <c r="J249" s="65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spans="1:25" ht="15.75" customHeight="1">
      <c r="A250" s="1"/>
      <c r="B250" s="1"/>
      <c r="C250" s="33"/>
      <c r="D250" s="33"/>
      <c r="E250" s="33"/>
      <c r="F250" s="65"/>
      <c r="G250" s="65"/>
      <c r="H250" s="65"/>
      <c r="I250" s="65"/>
      <c r="J250" s="65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spans="1:25" ht="15.75" customHeight="1">
      <c r="A251" s="1"/>
      <c r="B251" s="1"/>
      <c r="C251" s="33"/>
      <c r="D251" s="33"/>
      <c r="E251" s="33"/>
      <c r="F251" s="65"/>
      <c r="G251" s="65"/>
      <c r="H251" s="65"/>
      <c r="I251" s="65"/>
      <c r="J251" s="65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spans="1:25" ht="15.75" customHeight="1">
      <c r="A252" s="1"/>
      <c r="B252" s="1"/>
      <c r="C252" s="33"/>
      <c r="D252" s="33"/>
      <c r="E252" s="33"/>
      <c r="F252" s="65"/>
      <c r="G252" s="65"/>
      <c r="H252" s="65"/>
      <c r="I252" s="65"/>
      <c r="J252" s="65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spans="1:25" ht="15.75" customHeight="1">
      <c r="A253" s="1"/>
      <c r="B253" s="1"/>
      <c r="C253" s="33"/>
      <c r="D253" s="33"/>
      <c r="E253" s="33"/>
      <c r="F253" s="65"/>
      <c r="G253" s="65"/>
      <c r="H253" s="65"/>
      <c r="I253" s="65"/>
      <c r="J253" s="65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spans="1:25" ht="15.75" customHeight="1">
      <c r="A254" s="1"/>
      <c r="B254" s="1"/>
      <c r="C254" s="33"/>
      <c r="D254" s="33"/>
      <c r="E254" s="33"/>
      <c r="F254" s="65"/>
      <c r="G254" s="65"/>
      <c r="H254" s="65"/>
      <c r="I254" s="65"/>
      <c r="J254" s="65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spans="1:25" ht="15.75" customHeight="1">
      <c r="A255" s="1"/>
      <c r="B255" s="1"/>
      <c r="C255" s="33"/>
      <c r="D255" s="33"/>
      <c r="E255" s="33"/>
      <c r="F255" s="65"/>
      <c r="G255" s="65"/>
      <c r="H255" s="65"/>
      <c r="I255" s="65"/>
      <c r="J255" s="65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spans="1:25" ht="15.75" customHeight="1">
      <c r="A256" s="1"/>
      <c r="B256" s="1"/>
      <c r="C256" s="33"/>
      <c r="D256" s="33"/>
      <c r="E256" s="33"/>
      <c r="F256" s="65"/>
      <c r="G256" s="65"/>
      <c r="H256" s="65"/>
      <c r="I256" s="65"/>
      <c r="J256" s="65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spans="1:25" ht="15.75" customHeight="1">
      <c r="A257" s="1"/>
      <c r="B257" s="1"/>
      <c r="C257" s="33"/>
      <c r="D257" s="33"/>
      <c r="E257" s="33"/>
      <c r="F257" s="65"/>
      <c r="G257" s="65"/>
      <c r="H257" s="65"/>
      <c r="I257" s="65"/>
      <c r="J257" s="65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spans="1:25" ht="15.75" customHeight="1">
      <c r="A258" s="1"/>
      <c r="B258" s="1"/>
      <c r="C258" s="33"/>
      <c r="D258" s="33"/>
      <c r="E258" s="33"/>
      <c r="F258" s="65"/>
      <c r="G258" s="65"/>
      <c r="H258" s="65"/>
      <c r="I258" s="65"/>
      <c r="J258" s="65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spans="1:25" ht="15.75" customHeight="1">
      <c r="A259" s="1"/>
      <c r="B259" s="1"/>
      <c r="C259" s="33"/>
      <c r="D259" s="33"/>
      <c r="E259" s="33"/>
      <c r="F259" s="65"/>
      <c r="G259" s="65"/>
      <c r="H259" s="65"/>
      <c r="I259" s="65"/>
      <c r="J259" s="65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spans="1:25" ht="15.75" customHeight="1">
      <c r="A260" s="1"/>
      <c r="B260" s="1"/>
      <c r="C260" s="33"/>
      <c r="D260" s="33"/>
      <c r="E260" s="33"/>
      <c r="F260" s="65"/>
      <c r="G260" s="65"/>
      <c r="H260" s="65"/>
      <c r="I260" s="65"/>
      <c r="J260" s="65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spans="1:25" ht="15.75" customHeight="1">
      <c r="A261" s="1"/>
      <c r="B261" s="1"/>
      <c r="C261" s="33"/>
      <c r="D261" s="33"/>
      <c r="E261" s="33"/>
      <c r="F261" s="65"/>
      <c r="G261" s="65"/>
      <c r="H261" s="65"/>
      <c r="I261" s="65"/>
      <c r="J261" s="65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spans="1:25" ht="15.75" customHeight="1">
      <c r="A262" s="1"/>
      <c r="B262" s="1"/>
      <c r="C262" s="33"/>
      <c r="D262" s="33"/>
      <c r="E262" s="33"/>
      <c r="F262" s="65"/>
      <c r="G262" s="65"/>
      <c r="H262" s="65"/>
      <c r="I262" s="65"/>
      <c r="J262" s="65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spans="1:25" ht="15.75" customHeight="1">
      <c r="A263" s="1"/>
      <c r="B263" s="1"/>
      <c r="C263" s="33"/>
      <c r="D263" s="33"/>
      <c r="E263" s="33"/>
      <c r="F263" s="65"/>
      <c r="G263" s="65"/>
      <c r="H263" s="65"/>
      <c r="I263" s="65"/>
      <c r="J263" s="65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spans="1:25" ht="15.75" customHeight="1">
      <c r="A264" s="1"/>
      <c r="B264" s="1"/>
      <c r="C264" s="33"/>
      <c r="D264" s="33"/>
      <c r="E264" s="33"/>
      <c r="F264" s="65"/>
      <c r="G264" s="65"/>
      <c r="H264" s="65"/>
      <c r="I264" s="65"/>
      <c r="J264" s="65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spans="1:25" ht="15.75" customHeight="1">
      <c r="A265" s="1"/>
      <c r="B265" s="1"/>
      <c r="C265" s="33"/>
      <c r="D265" s="33"/>
      <c r="E265" s="33"/>
      <c r="F265" s="65"/>
      <c r="G265" s="65"/>
      <c r="H265" s="65"/>
      <c r="I265" s="65"/>
      <c r="J265" s="65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spans="1:25" ht="15.75" customHeight="1">
      <c r="A266" s="1"/>
      <c r="B266" s="1"/>
      <c r="C266" s="33"/>
      <c r="D266" s="33"/>
      <c r="E266" s="33"/>
      <c r="F266" s="65"/>
      <c r="G266" s="65"/>
      <c r="H266" s="65"/>
      <c r="I266" s="65"/>
      <c r="J266" s="65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spans="1:25" ht="15.75" customHeight="1">
      <c r="A267" s="1"/>
      <c r="B267" s="1"/>
      <c r="C267" s="33"/>
      <c r="D267" s="33"/>
      <c r="E267" s="33"/>
      <c r="F267" s="65"/>
      <c r="G267" s="65"/>
      <c r="H267" s="65"/>
      <c r="I267" s="65"/>
      <c r="J267" s="65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spans="1:25" ht="15.75" customHeight="1">
      <c r="A268" s="1"/>
      <c r="B268" s="1"/>
      <c r="C268" s="33"/>
      <c r="D268" s="33"/>
      <c r="E268" s="33"/>
      <c r="F268" s="65"/>
      <c r="G268" s="65"/>
      <c r="H268" s="65"/>
      <c r="I268" s="65"/>
      <c r="J268" s="65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spans="1:25" ht="15.75" customHeight="1">
      <c r="A269" s="1"/>
      <c r="B269" s="1"/>
      <c r="C269" s="33"/>
      <c r="D269" s="33"/>
      <c r="E269" s="33"/>
      <c r="F269" s="65"/>
      <c r="G269" s="65"/>
      <c r="H269" s="65"/>
      <c r="I269" s="65"/>
      <c r="J269" s="65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spans="1:25" ht="15.75" customHeight="1">
      <c r="A270" s="1"/>
      <c r="B270" s="1"/>
      <c r="C270" s="33"/>
      <c r="D270" s="33"/>
      <c r="E270" s="33"/>
      <c r="F270" s="65"/>
      <c r="G270" s="65"/>
      <c r="H270" s="65"/>
      <c r="I270" s="65"/>
      <c r="J270" s="65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spans="1:25" ht="15.75" customHeight="1">
      <c r="A271" s="1"/>
      <c r="B271" s="1"/>
      <c r="C271" s="33"/>
      <c r="D271" s="33"/>
      <c r="E271" s="33"/>
      <c r="F271" s="65"/>
      <c r="G271" s="65"/>
      <c r="H271" s="65"/>
      <c r="I271" s="65"/>
      <c r="J271" s="65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spans="1:25" ht="15.75" customHeight="1">
      <c r="A272" s="1"/>
      <c r="B272" s="1"/>
      <c r="C272" s="33"/>
      <c r="D272" s="33"/>
      <c r="E272" s="33"/>
      <c r="F272" s="65"/>
      <c r="G272" s="65"/>
      <c r="H272" s="65"/>
      <c r="I272" s="65"/>
      <c r="J272" s="65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spans="1:25" ht="15.75" customHeight="1">
      <c r="A273" s="1"/>
      <c r="B273" s="1"/>
      <c r="C273" s="33"/>
      <c r="D273" s="33"/>
      <c r="E273" s="33"/>
      <c r="F273" s="65"/>
      <c r="G273" s="65"/>
      <c r="H273" s="65"/>
      <c r="I273" s="65"/>
      <c r="J273" s="65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spans="1:25" ht="15.75" customHeight="1">
      <c r="A274" s="1"/>
      <c r="B274" s="1"/>
      <c r="C274" s="33"/>
      <c r="D274" s="33"/>
      <c r="E274" s="33"/>
      <c r="F274" s="65"/>
      <c r="G274" s="65"/>
      <c r="H274" s="65"/>
      <c r="I274" s="65"/>
      <c r="J274" s="65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spans="1:25" ht="15.75" customHeight="1">
      <c r="A275" s="1"/>
      <c r="B275" s="1"/>
      <c r="C275" s="33"/>
      <c r="D275" s="33"/>
      <c r="E275" s="33"/>
      <c r="F275" s="65"/>
      <c r="G275" s="65"/>
      <c r="H275" s="65"/>
      <c r="I275" s="65"/>
      <c r="J275" s="65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spans="1:25" ht="15.75" customHeight="1">
      <c r="A276" s="1"/>
      <c r="B276" s="1"/>
      <c r="C276" s="33"/>
      <c r="D276" s="33"/>
      <c r="E276" s="33"/>
      <c r="F276" s="65"/>
      <c r="G276" s="65"/>
      <c r="H276" s="65"/>
      <c r="I276" s="65"/>
      <c r="J276" s="65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spans="1:25" ht="15.75" customHeight="1">
      <c r="A277" s="1"/>
      <c r="B277" s="1"/>
      <c r="C277" s="33"/>
      <c r="D277" s="33"/>
      <c r="E277" s="33"/>
      <c r="F277" s="65"/>
      <c r="G277" s="65"/>
      <c r="H277" s="65"/>
      <c r="I277" s="65"/>
      <c r="J277" s="65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spans="1:25" ht="15.75" customHeight="1">
      <c r="A278" s="1"/>
      <c r="B278" s="1"/>
      <c r="C278" s="33"/>
      <c r="D278" s="33"/>
      <c r="E278" s="33"/>
      <c r="F278" s="65"/>
      <c r="G278" s="65"/>
      <c r="H278" s="65"/>
      <c r="I278" s="65"/>
      <c r="J278" s="65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spans="1:25" ht="15.75" customHeight="1">
      <c r="A279" s="1"/>
      <c r="B279" s="1"/>
      <c r="C279" s="33"/>
      <c r="D279" s="33"/>
      <c r="E279" s="33"/>
      <c r="F279" s="65"/>
      <c r="G279" s="65"/>
      <c r="H279" s="65"/>
      <c r="I279" s="65"/>
      <c r="J279" s="65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spans="1:25" ht="15.75" customHeight="1">
      <c r="A280" s="1"/>
      <c r="B280" s="1"/>
      <c r="C280" s="33"/>
      <c r="D280" s="33"/>
      <c r="E280" s="33"/>
      <c r="F280" s="65"/>
      <c r="G280" s="65"/>
      <c r="H280" s="65"/>
      <c r="I280" s="65"/>
      <c r="J280" s="65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spans="1:25" ht="15.75" customHeight="1">
      <c r="A281" s="1"/>
      <c r="B281" s="1"/>
      <c r="C281" s="33"/>
      <c r="D281" s="33"/>
      <c r="E281" s="33"/>
      <c r="F281" s="65"/>
      <c r="G281" s="65"/>
      <c r="H281" s="65"/>
      <c r="I281" s="65"/>
      <c r="J281" s="65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spans="1:25" ht="15.75" customHeight="1">
      <c r="A282" s="1"/>
      <c r="B282" s="1"/>
      <c r="C282" s="33"/>
      <c r="D282" s="33"/>
      <c r="E282" s="33"/>
      <c r="F282" s="65"/>
      <c r="G282" s="65"/>
      <c r="H282" s="65"/>
      <c r="I282" s="65"/>
      <c r="J282" s="65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spans="1:25" ht="15.75" customHeight="1">
      <c r="A283" s="1"/>
      <c r="B283" s="1"/>
      <c r="C283" s="33"/>
      <c r="D283" s="33"/>
      <c r="E283" s="33"/>
      <c r="F283" s="65"/>
      <c r="G283" s="65"/>
      <c r="H283" s="65"/>
      <c r="I283" s="65"/>
      <c r="J283" s="65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spans="1:25" ht="15.75" customHeight="1">
      <c r="A284" s="1"/>
      <c r="B284" s="1"/>
      <c r="C284" s="33"/>
      <c r="D284" s="33"/>
      <c r="E284" s="33"/>
      <c r="F284" s="65"/>
      <c r="G284" s="65"/>
      <c r="H284" s="65"/>
      <c r="I284" s="65"/>
      <c r="J284" s="65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spans="1:25" ht="15.75" customHeight="1">
      <c r="A285" s="1"/>
      <c r="B285" s="1"/>
      <c r="C285" s="33"/>
      <c r="D285" s="33"/>
      <c r="E285" s="33"/>
      <c r="F285" s="65"/>
      <c r="G285" s="65"/>
      <c r="H285" s="65"/>
      <c r="I285" s="65"/>
      <c r="J285" s="65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5.75" customHeight="1">
      <c r="A286" s="1"/>
      <c r="B286" s="1"/>
      <c r="C286" s="33"/>
      <c r="D286" s="33"/>
      <c r="E286" s="33"/>
      <c r="F286" s="65"/>
      <c r="G286" s="65"/>
      <c r="H286" s="65"/>
      <c r="I286" s="65"/>
      <c r="J286" s="65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5.75" customHeight="1">
      <c r="A287" s="1"/>
      <c r="B287" s="1"/>
      <c r="C287" s="33"/>
      <c r="D287" s="33"/>
      <c r="E287" s="33"/>
      <c r="F287" s="65"/>
      <c r="G287" s="65"/>
      <c r="H287" s="65"/>
      <c r="I287" s="65"/>
      <c r="J287" s="65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15.75" customHeight="1">
      <c r="A288" s="1"/>
      <c r="B288" s="1"/>
      <c r="C288" s="33"/>
      <c r="D288" s="33"/>
      <c r="E288" s="33"/>
      <c r="F288" s="65"/>
      <c r="G288" s="65"/>
      <c r="H288" s="65"/>
      <c r="I288" s="65"/>
      <c r="J288" s="65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5.75" customHeight="1">
      <c r="A289" s="1"/>
      <c r="B289" s="1"/>
      <c r="C289" s="33"/>
      <c r="D289" s="33"/>
      <c r="E289" s="33"/>
      <c r="F289" s="65"/>
      <c r="G289" s="65"/>
      <c r="H289" s="65"/>
      <c r="I289" s="65"/>
      <c r="J289" s="65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5.75" customHeight="1">
      <c r="A290" s="1"/>
      <c r="B290" s="1"/>
      <c r="C290" s="33"/>
      <c r="D290" s="33"/>
      <c r="E290" s="33"/>
      <c r="F290" s="65"/>
      <c r="G290" s="65"/>
      <c r="H290" s="65"/>
      <c r="I290" s="65"/>
      <c r="J290" s="65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5.75" customHeight="1">
      <c r="A291" s="1"/>
      <c r="B291" s="1"/>
      <c r="C291" s="33"/>
      <c r="D291" s="33"/>
      <c r="E291" s="33"/>
      <c r="F291" s="65"/>
      <c r="G291" s="65"/>
      <c r="H291" s="65"/>
      <c r="I291" s="65"/>
      <c r="J291" s="65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5.75" customHeight="1">
      <c r="A292" s="1"/>
      <c r="B292" s="1"/>
      <c r="C292" s="33"/>
      <c r="D292" s="33"/>
      <c r="E292" s="33"/>
      <c r="F292" s="65"/>
      <c r="G292" s="65"/>
      <c r="H292" s="65"/>
      <c r="I292" s="65"/>
      <c r="J292" s="65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5.75" customHeight="1">
      <c r="A293" s="1"/>
      <c r="B293" s="1"/>
      <c r="C293" s="33"/>
      <c r="D293" s="33"/>
      <c r="E293" s="33"/>
      <c r="F293" s="65"/>
      <c r="G293" s="65"/>
      <c r="H293" s="65"/>
      <c r="I293" s="65"/>
      <c r="J293" s="65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5.75" customHeight="1">
      <c r="A294" s="1"/>
      <c r="B294" s="1"/>
      <c r="C294" s="33"/>
      <c r="D294" s="33"/>
      <c r="E294" s="33"/>
      <c r="F294" s="65"/>
      <c r="G294" s="65"/>
      <c r="H294" s="65"/>
      <c r="I294" s="65"/>
      <c r="J294" s="65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5.75" customHeight="1">
      <c r="A295" s="1"/>
      <c r="B295" s="1"/>
      <c r="C295" s="33"/>
      <c r="D295" s="33"/>
      <c r="E295" s="33"/>
      <c r="F295" s="65"/>
      <c r="G295" s="65"/>
      <c r="H295" s="65"/>
      <c r="I295" s="65"/>
      <c r="J295" s="65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5.7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</row>
    <row r="297" spans="1:25" ht="15.7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</row>
    <row r="298" spans="1:25" ht="15.7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</row>
    <row r="299" spans="1:25" ht="15.7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</row>
    <row r="300" spans="1:25" ht="15.7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</row>
    <row r="301" spans="1:25" ht="15.7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</row>
    <row r="302" spans="1:25" ht="15.7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</row>
    <row r="303" spans="1:25" ht="15.7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</row>
    <row r="304" spans="1:25" ht="15.7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E4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8D08D"/>
  </sheetPr>
  <dimension ref="A1:Z1000"/>
  <sheetViews>
    <sheetView workbookViewId="0"/>
  </sheetViews>
  <sheetFormatPr defaultColWidth="14.42578125" defaultRowHeight="15" customHeight="1"/>
  <cols>
    <col min="1" max="1" width="22.7109375" customWidth="1"/>
    <col min="2" max="2" width="16.85546875" customWidth="1"/>
    <col min="3" max="26" width="16.42578125" customWidth="1"/>
  </cols>
  <sheetData>
    <row r="1" spans="1:26" ht="13.5" customHeight="1">
      <c r="A1" s="339"/>
      <c r="B1" s="179"/>
      <c r="C1" s="179"/>
      <c r="D1" s="179"/>
      <c r="E1" s="179"/>
      <c r="F1" s="17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</row>
    <row r="2" spans="1:26" ht="13.5" customHeight="1">
      <c r="A2" s="339"/>
      <c r="B2" s="179"/>
      <c r="C2" s="179"/>
      <c r="D2" s="179"/>
      <c r="E2" s="179"/>
      <c r="F2" s="17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</row>
    <row r="3" spans="1:26" ht="30" customHeight="1">
      <c r="A3" s="180" t="s">
        <v>312</v>
      </c>
      <c r="B3" s="181"/>
      <c r="C3" s="181"/>
      <c r="D3" s="181"/>
      <c r="E3" s="181"/>
      <c r="F3" s="181"/>
      <c r="G3" s="339"/>
      <c r="H3" s="181" t="s">
        <v>313</v>
      </c>
      <c r="I3" s="181"/>
      <c r="J3" s="181"/>
      <c r="K3" s="181"/>
      <c r="L3" s="181"/>
      <c r="M3" s="181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</row>
    <row r="4" spans="1:26" ht="13.5" customHeight="1">
      <c r="A4" s="382"/>
      <c r="B4" s="379" t="s">
        <v>181</v>
      </c>
      <c r="C4" s="380"/>
      <c r="D4" s="380"/>
      <c r="E4" s="380"/>
      <c r="F4" s="381"/>
      <c r="G4" s="339"/>
      <c r="H4" s="384"/>
      <c r="I4" s="379" t="s">
        <v>181</v>
      </c>
      <c r="J4" s="380"/>
      <c r="K4" s="380"/>
      <c r="L4" s="380"/>
      <c r="M4" s="381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</row>
    <row r="5" spans="1:26" ht="13.5" customHeight="1">
      <c r="A5" s="383"/>
      <c r="B5" s="182">
        <v>2020</v>
      </c>
      <c r="C5" s="182">
        <v>2021</v>
      </c>
      <c r="D5" s="182">
        <v>2022</v>
      </c>
      <c r="E5" s="182">
        <v>2023</v>
      </c>
      <c r="F5" s="182">
        <v>2024</v>
      </c>
      <c r="G5" s="183"/>
      <c r="H5" s="383"/>
      <c r="I5" s="182">
        <v>2020</v>
      </c>
      <c r="J5" s="182">
        <v>2021</v>
      </c>
      <c r="K5" s="182">
        <v>2022</v>
      </c>
      <c r="L5" s="182">
        <v>2023</v>
      </c>
      <c r="M5" s="182">
        <v>2024</v>
      </c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</row>
    <row r="6" spans="1:26" ht="13.5" customHeight="1">
      <c r="A6" s="180" t="s">
        <v>314</v>
      </c>
      <c r="B6" s="184">
        <f>OPEX!F23</f>
        <v>78475000</v>
      </c>
      <c r="C6" s="184">
        <f>OPEX!G23</f>
        <v>523501250</v>
      </c>
      <c r="D6" s="184">
        <f>OPEX!H23</f>
        <v>545232437.5</v>
      </c>
      <c r="E6" s="184">
        <f>OPEX!I23</f>
        <v>568407063.12500012</v>
      </c>
      <c r="F6" s="184">
        <f>OPEX!J23</f>
        <v>593175913.39374995</v>
      </c>
      <c r="G6" s="185" t="e">
        <f>#REF!</f>
        <v>#REF!</v>
      </c>
      <c r="H6" s="181" t="s">
        <v>315</v>
      </c>
      <c r="I6" s="186">
        <v>0</v>
      </c>
      <c r="J6" s="186">
        <f t="shared" ref="J6:M6" si="0">+(C6-B6)/B6</f>
        <v>5.6709302325581392</v>
      </c>
      <c r="K6" s="186">
        <f t="shared" si="0"/>
        <v>4.1511242809830921E-2</v>
      </c>
      <c r="L6" s="186">
        <f t="shared" si="0"/>
        <v>4.2504121235450373E-2</v>
      </c>
      <c r="M6" s="186">
        <f t="shared" si="0"/>
        <v>4.3575901630382871E-2</v>
      </c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</row>
    <row r="7" spans="1:26" ht="13.5" customHeight="1">
      <c r="A7" s="180" t="s">
        <v>316</v>
      </c>
      <c r="B7" s="184">
        <f>+OPEX!F52</f>
        <v>20005400</v>
      </c>
      <c r="C7" s="184">
        <f>+OPEX!G52</f>
        <v>464524650</v>
      </c>
      <c r="D7" s="184">
        <f>+OPEX!H52</f>
        <v>485739027.5</v>
      </c>
      <c r="E7" s="184">
        <f>+OPEX!I52</f>
        <v>508386822.82500011</v>
      </c>
      <c r="F7" s="184">
        <f>+OPEX!J52</f>
        <v>532618607.32474995</v>
      </c>
      <c r="G7" s="339"/>
      <c r="H7" s="181" t="s">
        <v>317</v>
      </c>
      <c r="I7" s="186">
        <v>0</v>
      </c>
      <c r="J7" s="186">
        <f t="shared" ref="J7:M7" si="1">+(C7-B7)/B7</f>
        <v>22.219963109960311</v>
      </c>
      <c r="K7" s="186">
        <f t="shared" si="1"/>
        <v>4.5669002710620417E-2</v>
      </c>
      <c r="L7" s="186">
        <f t="shared" si="1"/>
        <v>4.6625438852553609E-2</v>
      </c>
      <c r="M7" s="186">
        <f t="shared" si="1"/>
        <v>4.766406879922426E-2</v>
      </c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</row>
    <row r="8" spans="1:26" ht="13.5" customHeight="1">
      <c r="A8" s="180" t="s">
        <v>220</v>
      </c>
      <c r="B8" s="184">
        <f>+OPEX!F54</f>
        <v>13856750.476314455</v>
      </c>
      <c r="C8" s="184">
        <f>+OPEX!G54</f>
        <v>457819431.27329552</v>
      </c>
      <c r="D8" s="184">
        <f>+OPEX!H54</f>
        <v>478360383.30378121</v>
      </c>
      <c r="E8" s="184">
        <f>+OPEX!I54</f>
        <v>500192590.02466738</v>
      </c>
      <c r="F8" s="184">
        <f>+OPEX!J54</f>
        <v>523518635.92072737</v>
      </c>
      <c r="G8" s="66"/>
      <c r="H8" s="181" t="s">
        <v>318</v>
      </c>
      <c r="I8" s="186">
        <v>0</v>
      </c>
      <c r="J8" s="186">
        <f t="shared" ref="J8:M8" si="2">+(C8-B8)/B8</f>
        <v>32.039451208698097</v>
      </c>
      <c r="K8" s="186">
        <f t="shared" si="2"/>
        <v>4.4866929246224499E-2</v>
      </c>
      <c r="L8" s="186">
        <f t="shared" si="2"/>
        <v>4.5639663071809396E-2</v>
      </c>
      <c r="M8" s="186">
        <f t="shared" si="2"/>
        <v>4.6634129255912503E-2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3.5" customHeight="1">
      <c r="A9" s="180" t="s">
        <v>224</v>
      </c>
      <c r="B9" s="184">
        <f>+OPEX!F56</f>
        <v>9699725.3334201183</v>
      </c>
      <c r="C9" s="184">
        <f>+OPEX!G56</f>
        <v>320473601.89130688</v>
      </c>
      <c r="D9" s="184">
        <f>+OPEX!H56</f>
        <v>334852268.31264687</v>
      </c>
      <c r="E9" s="184">
        <f>+OPEX!I56</f>
        <v>350134813.01726717</v>
      </c>
      <c r="F9" s="184">
        <f>+OPEX!J56</f>
        <v>366463045.1445092</v>
      </c>
      <c r="G9" s="339"/>
      <c r="H9" s="181" t="s">
        <v>319</v>
      </c>
      <c r="I9" s="186">
        <v>0</v>
      </c>
      <c r="J9" s="186">
        <f t="shared" ref="J9:M9" si="3">+(C9-B9)/B9</f>
        <v>32.039451208698097</v>
      </c>
      <c r="K9" s="186">
        <f t="shared" si="3"/>
        <v>4.4866929246224513E-2</v>
      </c>
      <c r="L9" s="186">
        <f t="shared" si="3"/>
        <v>4.563966307180934E-2</v>
      </c>
      <c r="M9" s="186">
        <f t="shared" si="3"/>
        <v>4.6634129255912607E-2</v>
      </c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</row>
    <row r="10" spans="1:26" ht="13.5" customHeight="1">
      <c r="A10" s="339"/>
      <c r="B10" s="179"/>
      <c r="C10" s="179"/>
      <c r="D10" s="179"/>
      <c r="E10" s="179"/>
      <c r="F10" s="17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39"/>
      <c r="V10" s="339"/>
      <c r="W10" s="339"/>
      <c r="X10" s="339"/>
      <c r="Y10" s="339"/>
      <c r="Z10" s="339"/>
    </row>
    <row r="11" spans="1:26" ht="13.5" customHeight="1">
      <c r="A11" s="339"/>
      <c r="B11" s="179"/>
      <c r="C11" s="179"/>
      <c r="D11" s="179"/>
      <c r="E11" s="179"/>
      <c r="F11" s="179"/>
      <c r="G11" s="339"/>
      <c r="H11" s="339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39"/>
    </row>
    <row r="12" spans="1:26" ht="13.5" customHeight="1">
      <c r="A12" s="180"/>
      <c r="B12" s="379" t="s">
        <v>181</v>
      </c>
      <c r="C12" s="380"/>
      <c r="D12" s="380"/>
      <c r="E12" s="380"/>
      <c r="F12" s="381"/>
      <c r="G12" s="339"/>
      <c r="H12" s="339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339"/>
    </row>
    <row r="13" spans="1:26" ht="13.5" customHeight="1">
      <c r="A13" s="187"/>
      <c r="B13" s="182">
        <v>2020</v>
      </c>
      <c r="C13" s="182">
        <v>2021</v>
      </c>
      <c r="D13" s="182">
        <v>2022</v>
      </c>
      <c r="E13" s="182">
        <v>2023</v>
      </c>
      <c r="F13" s="182">
        <v>2024</v>
      </c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</row>
    <row r="14" spans="1:26" ht="13.5" customHeight="1">
      <c r="A14" s="180" t="s">
        <v>320</v>
      </c>
      <c r="B14" s="184">
        <f>OPEX!F7</f>
        <v>15</v>
      </c>
      <c r="C14" s="184">
        <f>OPEX!G7</f>
        <v>136.15</v>
      </c>
      <c r="D14" s="184">
        <f>OPEX!H7</f>
        <v>141.23250000000002</v>
      </c>
      <c r="E14" s="184">
        <f>OPEX!I7</f>
        <v>146.60177500000003</v>
      </c>
      <c r="F14" s="184">
        <f>OPEX!J7</f>
        <v>152.28503325000003</v>
      </c>
      <c r="G14" s="339"/>
      <c r="H14" s="339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39"/>
      <c r="T14" s="339"/>
      <c r="U14" s="339"/>
      <c r="V14" s="339"/>
      <c r="W14" s="339"/>
      <c r="X14" s="339"/>
      <c r="Y14" s="339"/>
      <c r="Z14" s="339"/>
    </row>
    <row r="15" spans="1:26" ht="13.5" customHeight="1">
      <c r="A15" s="339"/>
      <c r="B15" s="179"/>
      <c r="C15" s="179"/>
      <c r="D15" s="179"/>
      <c r="E15" s="179"/>
      <c r="F15" s="179"/>
      <c r="G15" s="339"/>
      <c r="H15" s="339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</row>
    <row r="16" spans="1:26" ht="13.5" customHeight="1">
      <c r="A16" s="339"/>
      <c r="B16" s="179"/>
      <c r="C16" s="179"/>
      <c r="D16" s="179"/>
      <c r="E16" s="179"/>
      <c r="F16" s="179"/>
      <c r="G16" s="339"/>
      <c r="H16" s="339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</row>
    <row r="17" spans="1:26" ht="13.5" customHeight="1">
      <c r="A17" s="180" t="s">
        <v>321</v>
      </c>
      <c r="B17" s="181"/>
      <c r="C17" s="181"/>
      <c r="D17" s="181"/>
      <c r="E17" s="181"/>
      <c r="F17" s="181"/>
      <c r="G17" s="339"/>
      <c r="H17" s="339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</row>
    <row r="18" spans="1:26" ht="13.5" customHeight="1">
      <c r="A18" s="382" t="s">
        <v>181</v>
      </c>
      <c r="B18" s="379" t="s">
        <v>181</v>
      </c>
      <c r="C18" s="380"/>
      <c r="D18" s="380"/>
      <c r="E18" s="380"/>
      <c r="F18" s="381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3.5" customHeight="1">
      <c r="A19" s="383"/>
      <c r="B19" s="182">
        <v>2020</v>
      </c>
      <c r="C19" s="182">
        <v>2021</v>
      </c>
      <c r="D19" s="182">
        <v>2022</v>
      </c>
      <c r="E19" s="182">
        <v>2023</v>
      </c>
      <c r="F19" s="182">
        <v>2024</v>
      </c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</row>
    <row r="20" spans="1:26" ht="13.5" customHeight="1">
      <c r="A20" s="180" t="s">
        <v>322</v>
      </c>
      <c r="B20" s="184">
        <f>Cashflow!F10</f>
        <v>13929725.333420118</v>
      </c>
      <c r="C20" s="184">
        <f>Cashflow!G10</f>
        <v>324703601.89130688</v>
      </c>
      <c r="D20" s="184">
        <f>Cashflow!H10</f>
        <v>339082268.31264687</v>
      </c>
      <c r="E20" s="184">
        <f>Cashflow!I10</f>
        <v>354364813.01726717</v>
      </c>
      <c r="F20" s="184">
        <f>Cashflow!J10</f>
        <v>366463045.1445092</v>
      </c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</row>
    <row r="21" spans="1:26" ht="13.5" customHeight="1">
      <c r="A21" s="180" t="s">
        <v>323</v>
      </c>
      <c r="B21" s="184">
        <f>Cashflow!F14</f>
        <v>53229725.33342012</v>
      </c>
      <c r="C21" s="184">
        <f>Cashflow!G14</f>
        <v>324703601.89130688</v>
      </c>
      <c r="D21" s="184">
        <f>Cashflow!H14</f>
        <v>339082268.31264687</v>
      </c>
      <c r="E21" s="184">
        <f>Cashflow!I14</f>
        <v>354364813.01726717</v>
      </c>
      <c r="F21" s="184">
        <f>Cashflow!J14</f>
        <v>366463045.1445092</v>
      </c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</row>
    <row r="22" spans="1:26" ht="13.5" customHeight="1">
      <c r="A22" s="180" t="s">
        <v>324</v>
      </c>
      <c r="B22" s="184">
        <f>Cashflow!F20</f>
        <v>50040681.442235015</v>
      </c>
      <c r="C22" s="184">
        <f>Cashflow!G20</f>
        <v>10740681.442235017</v>
      </c>
      <c r="D22" s="184">
        <f>Cashflow!H20</f>
        <v>9627323.1167529505</v>
      </c>
      <c r="E22" s="184">
        <f>Cashflow!I20</f>
        <v>9627323.1167529523</v>
      </c>
      <c r="F22" s="184">
        <f>Cashflow!J20</f>
        <v>9627323.1167529505</v>
      </c>
      <c r="G22" s="339"/>
      <c r="H22" s="339"/>
      <c r="I22" s="339"/>
      <c r="J22" s="339"/>
      <c r="K22" s="339"/>
      <c r="L22" s="339"/>
      <c r="M22" s="339"/>
      <c r="N22" s="339"/>
      <c r="O22" s="339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39"/>
    </row>
    <row r="23" spans="1:26" ht="13.5" customHeight="1">
      <c r="A23" s="180" t="s">
        <v>325</v>
      </c>
      <c r="B23" s="184">
        <f>Cashflow!F22</f>
        <v>3189043.8911851048</v>
      </c>
      <c r="C23" s="184">
        <f>Cashflow!G22</f>
        <v>313962920.44907188</v>
      </c>
      <c r="D23" s="184">
        <f>Cashflow!H22</f>
        <v>329454945.19589394</v>
      </c>
      <c r="E23" s="184">
        <f>Cashflow!I22</f>
        <v>344737489.90051425</v>
      </c>
      <c r="F23" s="184">
        <f>Cashflow!J22</f>
        <v>356835722.02775627</v>
      </c>
      <c r="G23" s="339"/>
      <c r="H23" s="339"/>
      <c r="I23" s="339"/>
      <c r="J23" s="339"/>
      <c r="K23" s="339"/>
      <c r="L23" s="339"/>
      <c r="M23" s="339"/>
      <c r="N23" s="339"/>
      <c r="O23" s="339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39"/>
    </row>
    <row r="24" spans="1:26" ht="13.5" customHeight="1">
      <c r="A24" s="180" t="s">
        <v>326</v>
      </c>
      <c r="B24" s="184">
        <f>Cashflow!F24</f>
        <v>3189043.8911851048</v>
      </c>
      <c r="C24" s="184">
        <f>Cashflow!G24</f>
        <v>317151964.34025699</v>
      </c>
      <c r="D24" s="184">
        <f>Cashflow!H24</f>
        <v>646606909.53615093</v>
      </c>
      <c r="E24" s="184">
        <f>Cashflow!I24</f>
        <v>991344399.43666518</v>
      </c>
      <c r="F24" s="184">
        <f>Cashflow!J24</f>
        <v>1348180121.4644215</v>
      </c>
      <c r="G24" s="339"/>
      <c r="H24" s="339"/>
      <c r="I24" s="339"/>
      <c r="J24" s="339"/>
      <c r="K24" s="339"/>
      <c r="L24" s="339"/>
      <c r="M24" s="339"/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</row>
    <row r="25" spans="1:26" ht="13.5" customHeight="1">
      <c r="A25" s="339"/>
      <c r="B25" s="179"/>
      <c r="C25" s="179"/>
      <c r="D25" s="179"/>
      <c r="E25" s="179"/>
      <c r="F25" s="17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3.5" customHeight="1">
      <c r="A26" s="339"/>
      <c r="B26" s="179"/>
      <c r="C26" s="179"/>
      <c r="D26" s="179"/>
      <c r="E26" s="179"/>
      <c r="F26" s="17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 spans="1:26" ht="13.5" customHeight="1">
      <c r="A27" s="339"/>
      <c r="B27" s="179"/>
      <c r="C27" s="179"/>
      <c r="D27" s="179"/>
      <c r="E27" s="179"/>
      <c r="F27" s="17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</row>
    <row r="28" spans="1:26" ht="13.5" customHeight="1">
      <c r="A28" s="339"/>
      <c r="B28" s="179"/>
      <c r="C28" s="179"/>
      <c r="D28" s="179"/>
      <c r="E28" s="179"/>
      <c r="F28" s="179"/>
      <c r="G28" s="339"/>
      <c r="H28" s="339"/>
      <c r="I28" s="339"/>
      <c r="J28" s="339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</row>
    <row r="29" spans="1:26" ht="13.5" customHeight="1">
      <c r="A29" s="339"/>
      <c r="B29" s="179"/>
      <c r="C29" s="179"/>
      <c r="D29" s="179"/>
      <c r="E29" s="179"/>
      <c r="F29" s="179"/>
      <c r="G29" s="339"/>
      <c r="H29" s="339"/>
      <c r="I29" s="339"/>
      <c r="J29" s="339"/>
      <c r="K29" s="339"/>
      <c r="L29" s="339"/>
      <c r="M29" s="339"/>
      <c r="N29" s="339"/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</row>
    <row r="30" spans="1:26" ht="13.5" customHeight="1">
      <c r="A30" s="339"/>
      <c r="B30" s="179"/>
      <c r="C30" s="179"/>
      <c r="D30" s="179"/>
      <c r="E30" s="179"/>
      <c r="F30" s="179"/>
      <c r="G30" s="339"/>
      <c r="H30" s="339"/>
      <c r="I30" s="339"/>
      <c r="J30" s="339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</row>
    <row r="31" spans="1:26" ht="13.5" customHeight="1">
      <c r="A31" s="304"/>
      <c r="B31" s="305"/>
      <c r="C31" s="305"/>
      <c r="D31" s="305"/>
      <c r="E31" s="305"/>
      <c r="F31" s="305"/>
      <c r="G31" s="304"/>
      <c r="H31" s="304"/>
      <c r="I31" s="304"/>
      <c r="J31" s="304"/>
      <c r="K31" s="304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</row>
    <row r="32" spans="1:26" ht="13.5" customHeight="1">
      <c r="A32" s="339"/>
      <c r="B32" s="179"/>
      <c r="C32" s="179"/>
      <c r="D32" s="179"/>
      <c r="E32" s="179"/>
      <c r="F32" s="179"/>
      <c r="G32" s="339"/>
      <c r="H32" s="339"/>
      <c r="I32" s="339"/>
      <c r="J32" s="339"/>
      <c r="K32" s="304"/>
      <c r="L32" s="339"/>
      <c r="M32" s="339"/>
      <c r="N32" s="339"/>
      <c r="O32" s="339"/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</row>
    <row r="33" spans="1:11" ht="13.5" customHeight="1">
      <c r="A33" s="339"/>
      <c r="B33" s="179"/>
      <c r="C33" s="179"/>
      <c r="D33" s="179"/>
      <c r="E33" s="179"/>
      <c r="F33" s="179"/>
      <c r="G33" s="339"/>
      <c r="H33" s="339"/>
      <c r="I33" s="339"/>
      <c r="J33" s="339"/>
      <c r="K33" s="304"/>
    </row>
    <row r="34" spans="1:11" ht="13.5" customHeight="1">
      <c r="A34" s="339"/>
      <c r="B34" s="179"/>
      <c r="C34" s="179"/>
      <c r="D34" s="179"/>
      <c r="E34" s="179"/>
      <c r="F34" s="179"/>
      <c r="G34" s="339"/>
      <c r="H34" s="339"/>
      <c r="I34" s="339"/>
      <c r="J34" s="339"/>
      <c r="K34" s="304"/>
    </row>
    <row r="35" spans="1:11" ht="13.5" customHeight="1">
      <c r="A35" s="339"/>
      <c r="B35" s="179"/>
      <c r="C35" s="179"/>
      <c r="D35" s="179"/>
      <c r="E35" s="179"/>
      <c r="F35" s="179"/>
      <c r="G35" s="339"/>
      <c r="H35" s="339"/>
      <c r="I35" s="339"/>
      <c r="J35" s="339"/>
      <c r="K35" s="304"/>
    </row>
    <row r="36" spans="1:11" ht="13.5" customHeight="1">
      <c r="A36" s="339"/>
      <c r="B36" s="179"/>
      <c r="C36" s="179"/>
      <c r="D36" s="179"/>
      <c r="E36" s="179"/>
      <c r="F36" s="179"/>
      <c r="G36" s="339"/>
      <c r="H36" s="339"/>
      <c r="I36" s="339"/>
      <c r="J36" s="339"/>
      <c r="K36" s="304"/>
    </row>
    <row r="37" spans="1:11" ht="13.5" customHeight="1">
      <c r="A37" s="339"/>
      <c r="B37" s="179"/>
      <c r="C37" s="179"/>
      <c r="D37" s="179"/>
      <c r="E37" s="179"/>
      <c r="F37" s="179"/>
      <c r="G37" s="339"/>
      <c r="H37" s="339"/>
      <c r="I37" s="339"/>
      <c r="J37" s="339"/>
      <c r="K37" s="304"/>
    </row>
    <row r="38" spans="1:11" ht="13.5" customHeight="1">
      <c r="A38" s="339"/>
      <c r="B38" s="179"/>
      <c r="C38" s="179"/>
      <c r="D38" s="179"/>
      <c r="E38" s="179"/>
      <c r="F38" s="179"/>
      <c r="G38" s="339"/>
      <c r="H38" s="339"/>
      <c r="I38" s="339"/>
      <c r="J38" s="339"/>
      <c r="K38" s="304"/>
    </row>
    <row r="39" spans="1:11" ht="13.5" customHeight="1">
      <c r="A39" s="339"/>
      <c r="B39" s="179"/>
      <c r="C39" s="179"/>
      <c r="D39" s="179"/>
      <c r="E39" s="179"/>
      <c r="F39" s="179"/>
      <c r="G39" s="339"/>
      <c r="H39" s="339"/>
      <c r="I39" s="339"/>
      <c r="J39" s="339"/>
      <c r="K39" s="304"/>
    </row>
    <row r="40" spans="1:11" ht="13.5" customHeight="1">
      <c r="A40" s="339"/>
      <c r="B40" s="179"/>
      <c r="C40" s="179"/>
      <c r="D40" s="179"/>
      <c r="E40" s="179"/>
      <c r="F40" s="179"/>
      <c r="G40" s="339"/>
      <c r="H40" s="339"/>
      <c r="I40" s="339"/>
      <c r="J40" s="339"/>
      <c r="K40" s="304"/>
    </row>
    <row r="41" spans="1:11" ht="13.5" customHeight="1">
      <c r="A41" s="339"/>
      <c r="B41" s="179"/>
      <c r="C41" s="179"/>
      <c r="D41" s="179"/>
      <c r="E41" s="179"/>
      <c r="F41" s="179"/>
      <c r="G41" s="339"/>
      <c r="H41" s="339"/>
      <c r="I41" s="339"/>
      <c r="J41" s="339"/>
      <c r="K41" s="304"/>
    </row>
    <row r="42" spans="1:11" ht="13.5" customHeight="1">
      <c r="A42" s="339"/>
      <c r="B42" s="179"/>
      <c r="C42" s="179"/>
      <c r="D42" s="179"/>
      <c r="E42" s="179"/>
      <c r="F42" s="179"/>
      <c r="G42" s="339"/>
      <c r="H42" s="339"/>
      <c r="I42" s="339"/>
      <c r="J42" s="339"/>
      <c r="K42" s="304"/>
    </row>
    <row r="43" spans="1:11" ht="13.5" customHeight="1">
      <c r="A43" s="339"/>
      <c r="B43" s="179"/>
      <c r="C43" s="179"/>
      <c r="D43" s="179"/>
      <c r="E43" s="179"/>
      <c r="F43" s="179"/>
      <c r="G43" s="339"/>
      <c r="H43" s="339"/>
      <c r="I43" s="339"/>
      <c r="J43" s="339"/>
      <c r="K43" s="304"/>
    </row>
    <row r="44" spans="1:11" ht="13.5" customHeight="1">
      <c r="A44" s="339"/>
      <c r="B44" s="179"/>
      <c r="C44" s="179"/>
      <c r="D44" s="179"/>
      <c r="E44" s="179"/>
      <c r="F44" s="179"/>
      <c r="G44" s="339"/>
      <c r="H44" s="339"/>
      <c r="I44" s="339"/>
      <c r="J44" s="339"/>
      <c r="K44" s="304"/>
    </row>
    <row r="45" spans="1:11" ht="13.5" customHeight="1">
      <c r="A45" s="339"/>
      <c r="B45" s="179"/>
      <c r="C45" s="179"/>
      <c r="D45" s="179"/>
      <c r="E45" s="179"/>
      <c r="F45" s="179"/>
      <c r="G45" s="339"/>
      <c r="H45" s="339"/>
      <c r="I45" s="339"/>
      <c r="J45" s="339"/>
      <c r="K45" s="304"/>
    </row>
    <row r="46" spans="1:11" ht="13.5" customHeight="1">
      <c r="A46" s="339"/>
      <c r="B46" s="179"/>
      <c r="C46" s="179"/>
      <c r="D46" s="179"/>
      <c r="E46" s="179"/>
      <c r="F46" s="179"/>
      <c r="G46" s="339"/>
      <c r="H46" s="339"/>
      <c r="I46" s="339"/>
      <c r="J46" s="339"/>
      <c r="K46" s="304"/>
    </row>
    <row r="47" spans="1:11" ht="13.5" customHeight="1">
      <c r="A47" s="304"/>
      <c r="B47" s="305"/>
      <c r="C47" s="305"/>
      <c r="D47" s="305"/>
      <c r="E47" s="305"/>
      <c r="F47" s="305"/>
      <c r="G47" s="304"/>
      <c r="H47" s="304"/>
      <c r="I47" s="304"/>
      <c r="J47" s="304"/>
      <c r="K47" s="304"/>
    </row>
    <row r="48" spans="1:11" ht="13.5" customHeight="1">
      <c r="A48" s="339"/>
      <c r="B48" s="179"/>
      <c r="C48" s="179"/>
      <c r="D48" s="179"/>
      <c r="E48" s="179"/>
      <c r="F48" s="179"/>
      <c r="G48" s="339"/>
      <c r="H48" s="339"/>
      <c r="I48" s="339"/>
      <c r="J48" s="339"/>
      <c r="K48" s="304"/>
    </row>
    <row r="49" spans="1:11" ht="13.5" customHeight="1">
      <c r="A49" s="339"/>
      <c r="B49" s="179"/>
      <c r="C49" s="179"/>
      <c r="D49" s="179"/>
      <c r="E49" s="179"/>
      <c r="F49" s="179"/>
      <c r="G49" s="339"/>
      <c r="H49" s="339"/>
      <c r="I49" s="339"/>
      <c r="J49" s="339"/>
      <c r="K49" s="304"/>
    </row>
    <row r="50" spans="1:11" ht="13.5" customHeight="1">
      <c r="A50" s="339"/>
      <c r="B50" s="179"/>
      <c r="C50" s="179"/>
      <c r="D50" s="179"/>
      <c r="E50" s="179"/>
      <c r="F50" s="179"/>
      <c r="G50" s="339"/>
      <c r="H50" s="339"/>
      <c r="I50" s="339"/>
      <c r="J50" s="339"/>
      <c r="K50" s="304"/>
    </row>
    <row r="51" spans="1:11" ht="13.5" customHeight="1">
      <c r="A51" s="339"/>
      <c r="B51" s="179"/>
      <c r="C51" s="179"/>
      <c r="D51" s="179"/>
      <c r="E51" s="179"/>
      <c r="F51" s="179"/>
      <c r="G51" s="339"/>
      <c r="H51" s="339"/>
      <c r="I51" s="339"/>
      <c r="J51" s="339"/>
      <c r="K51" s="304"/>
    </row>
    <row r="52" spans="1:11" ht="13.5" customHeight="1">
      <c r="A52" s="339"/>
      <c r="B52" s="179"/>
      <c r="C52" s="179"/>
      <c r="D52" s="179"/>
      <c r="E52" s="179"/>
      <c r="F52" s="179"/>
      <c r="G52" s="339"/>
      <c r="H52" s="339"/>
      <c r="I52" s="339"/>
      <c r="J52" s="339"/>
      <c r="K52" s="304"/>
    </row>
    <row r="53" spans="1:11" ht="13.5" customHeight="1">
      <c r="A53" s="339"/>
      <c r="B53" s="179"/>
      <c r="C53" s="179"/>
      <c r="D53" s="179"/>
      <c r="E53" s="179"/>
      <c r="F53" s="179"/>
      <c r="G53" s="339"/>
      <c r="H53" s="339"/>
      <c r="I53" s="339"/>
      <c r="J53" s="339"/>
      <c r="K53" s="304"/>
    </row>
    <row r="54" spans="1:11" ht="13.5" customHeight="1">
      <c r="A54" s="339"/>
      <c r="B54" s="179"/>
      <c r="C54" s="179"/>
      <c r="D54" s="179"/>
      <c r="E54" s="179"/>
      <c r="F54" s="179"/>
      <c r="G54" s="339"/>
      <c r="H54" s="339"/>
      <c r="I54" s="339"/>
      <c r="J54" s="339"/>
      <c r="K54" s="304"/>
    </row>
    <row r="55" spans="1:11" ht="13.5" customHeight="1">
      <c r="A55" s="339"/>
      <c r="B55" s="179"/>
      <c r="C55" s="179"/>
      <c r="D55" s="179"/>
      <c r="E55" s="179"/>
      <c r="F55" s="179"/>
      <c r="G55" s="339"/>
      <c r="H55" s="339"/>
      <c r="I55" s="339"/>
      <c r="J55" s="339"/>
      <c r="K55" s="304"/>
    </row>
    <row r="56" spans="1:11" ht="13.5" customHeight="1">
      <c r="A56" s="339"/>
      <c r="B56" s="179"/>
      <c r="C56" s="179"/>
      <c r="D56" s="179"/>
      <c r="E56" s="179"/>
      <c r="F56" s="179"/>
      <c r="G56" s="339"/>
      <c r="H56" s="339"/>
      <c r="I56" s="339"/>
      <c r="J56" s="339"/>
      <c r="K56" s="304"/>
    </row>
    <row r="57" spans="1:11" ht="13.5" customHeight="1">
      <c r="A57" s="339"/>
      <c r="B57" s="179"/>
      <c r="C57" s="179"/>
      <c r="D57" s="179"/>
      <c r="E57" s="179"/>
      <c r="F57" s="179"/>
      <c r="G57" s="339"/>
      <c r="H57" s="339"/>
      <c r="I57" s="339"/>
      <c r="J57" s="339"/>
      <c r="K57" s="304"/>
    </row>
    <row r="58" spans="1:11" ht="13.5" customHeight="1">
      <c r="A58" s="339"/>
      <c r="B58" s="179"/>
      <c r="C58" s="179"/>
      <c r="D58" s="179"/>
      <c r="E58" s="179"/>
      <c r="F58" s="179"/>
      <c r="G58" s="339"/>
      <c r="H58" s="339"/>
      <c r="I58" s="339"/>
      <c r="J58" s="339"/>
      <c r="K58" s="304"/>
    </row>
    <row r="59" spans="1:11" ht="13.5" customHeight="1">
      <c r="A59" s="339"/>
      <c r="B59" s="179"/>
      <c r="C59" s="179"/>
      <c r="D59" s="179"/>
      <c r="E59" s="179"/>
      <c r="F59" s="179"/>
      <c r="G59" s="339"/>
      <c r="H59" s="339"/>
      <c r="I59" s="339"/>
      <c r="J59" s="339"/>
      <c r="K59" s="304"/>
    </row>
    <row r="60" spans="1:11" ht="13.5" customHeight="1">
      <c r="A60" s="339"/>
      <c r="B60" s="179"/>
      <c r="C60" s="179"/>
      <c r="D60" s="179"/>
      <c r="E60" s="179"/>
      <c r="F60" s="179"/>
      <c r="G60" s="339"/>
      <c r="H60" s="339"/>
      <c r="I60" s="339"/>
      <c r="J60" s="339"/>
      <c r="K60" s="304"/>
    </row>
    <row r="61" spans="1:11" ht="13.5" customHeight="1">
      <c r="A61" s="339"/>
      <c r="B61" s="179"/>
      <c r="C61" s="179"/>
      <c r="D61" s="179"/>
      <c r="E61" s="179"/>
      <c r="F61" s="179"/>
      <c r="G61" s="339"/>
      <c r="H61" s="339"/>
      <c r="I61" s="339"/>
      <c r="J61" s="339"/>
      <c r="K61" s="304"/>
    </row>
    <row r="62" spans="1:11" ht="13.5" customHeight="1">
      <c r="A62" s="339"/>
      <c r="B62" s="179"/>
      <c r="C62" s="179"/>
      <c r="D62" s="179"/>
      <c r="E62" s="179"/>
      <c r="F62" s="179"/>
      <c r="G62" s="339"/>
      <c r="H62" s="339"/>
      <c r="I62" s="339"/>
      <c r="J62" s="339"/>
      <c r="K62" s="304"/>
    </row>
    <row r="63" spans="1:11" ht="13.5" customHeight="1">
      <c r="A63" s="304"/>
      <c r="B63" s="305"/>
      <c r="C63" s="305"/>
      <c r="D63" s="305"/>
      <c r="E63" s="305"/>
      <c r="F63" s="305"/>
      <c r="G63" s="304"/>
      <c r="H63" s="304"/>
      <c r="I63" s="304"/>
      <c r="J63" s="304"/>
      <c r="K63" s="304"/>
    </row>
    <row r="64" spans="1:11" ht="13.5" customHeight="1">
      <c r="A64" s="304"/>
      <c r="B64" s="305"/>
      <c r="C64" s="305"/>
      <c r="D64" s="305"/>
      <c r="E64" s="305"/>
      <c r="F64" s="305"/>
      <c r="G64" s="304"/>
      <c r="H64" s="304"/>
      <c r="I64" s="304"/>
      <c r="J64" s="304"/>
      <c r="K64" s="304"/>
    </row>
    <row r="65" spans="2:6" ht="13.5" customHeight="1">
      <c r="B65" s="179"/>
      <c r="C65" s="179"/>
      <c r="D65" s="179"/>
      <c r="E65" s="179"/>
      <c r="F65" s="179"/>
    </row>
    <row r="66" spans="2:6" ht="13.5" customHeight="1">
      <c r="B66" s="179"/>
      <c r="C66" s="179"/>
      <c r="D66" s="179"/>
      <c r="E66" s="179"/>
      <c r="F66" s="179"/>
    </row>
    <row r="67" spans="2:6" ht="13.5" customHeight="1">
      <c r="B67" s="179"/>
      <c r="C67" s="179"/>
      <c r="D67" s="179"/>
      <c r="E67" s="179"/>
      <c r="F67" s="179"/>
    </row>
    <row r="68" spans="2:6" ht="13.5" customHeight="1">
      <c r="B68" s="179"/>
      <c r="C68" s="179"/>
      <c r="D68" s="179"/>
      <c r="E68" s="179"/>
      <c r="F68" s="179"/>
    </row>
    <row r="69" spans="2:6" ht="13.5" customHeight="1">
      <c r="B69" s="179"/>
      <c r="C69" s="179"/>
      <c r="D69" s="179"/>
      <c r="E69" s="179"/>
      <c r="F69" s="179"/>
    </row>
    <row r="70" spans="2:6" ht="13.5" customHeight="1">
      <c r="B70" s="179"/>
      <c r="C70" s="179"/>
      <c r="D70" s="179"/>
      <c r="E70" s="179"/>
      <c r="F70" s="179"/>
    </row>
    <row r="71" spans="2:6" ht="13.5" customHeight="1">
      <c r="B71" s="179"/>
      <c r="C71" s="179"/>
      <c r="D71" s="179"/>
      <c r="E71" s="179"/>
      <c r="F71" s="179"/>
    </row>
    <row r="72" spans="2:6" ht="13.5" customHeight="1">
      <c r="B72" s="179"/>
      <c r="C72" s="179"/>
      <c r="D72" s="179"/>
      <c r="E72" s="179"/>
      <c r="F72" s="179"/>
    </row>
    <row r="73" spans="2:6" ht="13.5" customHeight="1">
      <c r="B73" s="179"/>
      <c r="C73" s="179"/>
      <c r="D73" s="179"/>
      <c r="E73" s="179"/>
      <c r="F73" s="179"/>
    </row>
    <row r="74" spans="2:6" ht="13.5" customHeight="1">
      <c r="B74" s="179"/>
      <c r="C74" s="179"/>
      <c r="D74" s="179"/>
      <c r="E74" s="179"/>
      <c r="F74" s="179"/>
    </row>
    <row r="75" spans="2:6" ht="13.5" customHeight="1">
      <c r="B75" s="179"/>
      <c r="C75" s="179"/>
      <c r="D75" s="179"/>
      <c r="E75" s="179"/>
      <c r="F75" s="179"/>
    </row>
    <row r="76" spans="2:6" ht="13.5" customHeight="1">
      <c r="B76" s="179"/>
      <c r="C76" s="179"/>
      <c r="D76" s="179"/>
      <c r="E76" s="179"/>
      <c r="F76" s="179"/>
    </row>
    <row r="77" spans="2:6" ht="13.5" customHeight="1">
      <c r="B77" s="179"/>
      <c r="C77" s="179"/>
      <c r="D77" s="179"/>
      <c r="E77" s="179"/>
      <c r="F77" s="179"/>
    </row>
    <row r="78" spans="2:6" ht="13.5" customHeight="1">
      <c r="B78" s="179"/>
      <c r="C78" s="179"/>
      <c r="D78" s="179"/>
      <c r="E78" s="179"/>
      <c r="F78" s="179"/>
    </row>
    <row r="79" spans="2:6" ht="13.5" customHeight="1">
      <c r="B79" s="179"/>
      <c r="C79" s="179"/>
      <c r="D79" s="179"/>
      <c r="E79" s="179"/>
      <c r="F79" s="179"/>
    </row>
    <row r="80" spans="2:6" ht="13.5" customHeight="1">
      <c r="B80" s="179"/>
      <c r="C80" s="179"/>
      <c r="D80" s="179"/>
      <c r="E80" s="179"/>
      <c r="F80" s="179"/>
    </row>
    <row r="81" spans="2:6" ht="13.5" customHeight="1">
      <c r="B81" s="179"/>
      <c r="C81" s="179"/>
      <c r="D81" s="179"/>
      <c r="E81" s="179"/>
      <c r="F81" s="179"/>
    </row>
    <row r="82" spans="2:6" ht="13.5" customHeight="1">
      <c r="B82" s="179"/>
      <c r="C82" s="179"/>
      <c r="D82" s="179"/>
      <c r="E82" s="179"/>
      <c r="F82" s="179"/>
    </row>
    <row r="83" spans="2:6" ht="13.5" customHeight="1">
      <c r="B83" s="179"/>
      <c r="C83" s="179"/>
      <c r="D83" s="179"/>
      <c r="E83" s="179"/>
      <c r="F83" s="179"/>
    </row>
    <row r="84" spans="2:6" ht="13.5" customHeight="1">
      <c r="B84" s="179"/>
      <c r="C84" s="179"/>
      <c r="D84" s="179"/>
      <c r="E84" s="179"/>
      <c r="F84" s="179"/>
    </row>
    <row r="85" spans="2:6" ht="13.5" customHeight="1">
      <c r="B85" s="179"/>
      <c r="C85" s="179"/>
      <c r="D85" s="179"/>
      <c r="E85" s="179"/>
      <c r="F85" s="179"/>
    </row>
    <row r="86" spans="2:6" ht="13.5" customHeight="1">
      <c r="B86" s="179"/>
      <c r="C86" s="179"/>
      <c r="D86" s="179"/>
      <c r="E86" s="179"/>
      <c r="F86" s="179"/>
    </row>
    <row r="87" spans="2:6" ht="13.5" customHeight="1">
      <c r="B87" s="179"/>
      <c r="C87" s="179"/>
      <c r="D87" s="179"/>
      <c r="E87" s="179"/>
      <c r="F87" s="179"/>
    </row>
    <row r="88" spans="2:6" ht="13.5" customHeight="1">
      <c r="B88" s="179"/>
      <c r="C88" s="179"/>
      <c r="D88" s="179"/>
      <c r="E88" s="179"/>
      <c r="F88" s="179"/>
    </row>
    <row r="89" spans="2:6" ht="13.5" customHeight="1">
      <c r="B89" s="179"/>
      <c r="C89" s="179"/>
      <c r="D89" s="179"/>
      <c r="E89" s="179"/>
      <c r="F89" s="179"/>
    </row>
    <row r="90" spans="2:6" ht="13.5" customHeight="1">
      <c r="B90" s="179"/>
      <c r="C90" s="179"/>
      <c r="D90" s="179"/>
      <c r="E90" s="179"/>
      <c r="F90" s="179"/>
    </row>
    <row r="91" spans="2:6" ht="13.5" customHeight="1">
      <c r="B91" s="179"/>
      <c r="C91" s="179"/>
      <c r="D91" s="179"/>
      <c r="E91" s="179"/>
      <c r="F91" s="179"/>
    </row>
    <row r="92" spans="2:6" ht="13.5" customHeight="1">
      <c r="B92" s="179"/>
      <c r="C92" s="179"/>
      <c r="D92" s="179"/>
      <c r="E92" s="179"/>
      <c r="F92" s="179"/>
    </row>
    <row r="93" spans="2:6" ht="13.5" customHeight="1">
      <c r="B93" s="179"/>
      <c r="C93" s="179"/>
      <c r="D93" s="179"/>
      <c r="E93" s="179"/>
      <c r="F93" s="179"/>
    </row>
    <row r="94" spans="2:6" ht="13.5" customHeight="1">
      <c r="B94" s="179"/>
      <c r="C94" s="179"/>
      <c r="D94" s="179"/>
      <c r="E94" s="179"/>
      <c r="F94" s="179"/>
    </row>
    <row r="95" spans="2:6" ht="13.5" customHeight="1">
      <c r="B95" s="179"/>
      <c r="C95" s="179"/>
      <c r="D95" s="179"/>
      <c r="E95" s="179"/>
      <c r="F95" s="179"/>
    </row>
    <row r="96" spans="2:6" ht="13.5" customHeight="1">
      <c r="B96" s="179"/>
      <c r="C96" s="179"/>
      <c r="D96" s="179"/>
      <c r="E96" s="179"/>
      <c r="F96" s="179"/>
    </row>
    <row r="97" spans="2:6" ht="13.5" customHeight="1">
      <c r="B97" s="179"/>
      <c r="C97" s="179"/>
      <c r="D97" s="179"/>
      <c r="E97" s="179"/>
      <c r="F97" s="179"/>
    </row>
    <row r="98" spans="2:6" ht="13.5" customHeight="1">
      <c r="B98" s="179"/>
      <c r="C98" s="179"/>
      <c r="D98" s="179"/>
      <c r="E98" s="179"/>
      <c r="F98" s="179"/>
    </row>
    <row r="99" spans="2:6" ht="13.5" customHeight="1">
      <c r="B99" s="179"/>
      <c r="C99" s="179"/>
      <c r="D99" s="179"/>
      <c r="E99" s="179"/>
      <c r="F99" s="179"/>
    </row>
    <row r="100" spans="2:6" ht="13.5" customHeight="1">
      <c r="B100" s="179"/>
      <c r="C100" s="179"/>
      <c r="D100" s="179"/>
      <c r="E100" s="179"/>
      <c r="F100" s="179"/>
    </row>
    <row r="101" spans="2:6" ht="13.5" customHeight="1">
      <c r="B101" s="179"/>
      <c r="C101" s="179"/>
      <c r="D101" s="179"/>
      <c r="E101" s="179"/>
      <c r="F101" s="179"/>
    </row>
    <row r="102" spans="2:6" ht="13.5" customHeight="1">
      <c r="B102" s="179"/>
      <c r="C102" s="179"/>
      <c r="D102" s="179"/>
      <c r="E102" s="179"/>
      <c r="F102" s="179"/>
    </row>
    <row r="103" spans="2:6" ht="13.5" customHeight="1">
      <c r="B103" s="179"/>
      <c r="C103" s="179"/>
      <c r="D103" s="179"/>
      <c r="E103" s="179"/>
      <c r="F103" s="179"/>
    </row>
    <row r="104" spans="2:6" ht="13.5" customHeight="1">
      <c r="B104" s="179"/>
      <c r="C104" s="179"/>
      <c r="D104" s="179"/>
      <c r="E104" s="179"/>
      <c r="F104" s="179"/>
    </row>
    <row r="105" spans="2:6" ht="13.5" customHeight="1">
      <c r="B105" s="179"/>
      <c r="C105" s="179"/>
      <c r="D105" s="179"/>
      <c r="E105" s="179"/>
      <c r="F105" s="179"/>
    </row>
    <row r="106" spans="2:6" ht="13.5" customHeight="1">
      <c r="B106" s="179"/>
      <c r="C106" s="179"/>
      <c r="D106" s="179"/>
      <c r="E106" s="179"/>
      <c r="F106" s="179"/>
    </row>
    <row r="107" spans="2:6" ht="13.5" customHeight="1">
      <c r="B107" s="179"/>
      <c r="C107" s="179"/>
      <c r="D107" s="179"/>
      <c r="E107" s="179"/>
      <c r="F107" s="179"/>
    </row>
    <row r="108" spans="2:6" ht="13.5" customHeight="1">
      <c r="B108" s="179"/>
      <c r="C108" s="179"/>
      <c r="D108" s="179"/>
      <c r="E108" s="179"/>
      <c r="F108" s="179"/>
    </row>
    <row r="109" spans="2:6" ht="13.5" customHeight="1">
      <c r="B109" s="179"/>
      <c r="C109" s="179"/>
      <c r="D109" s="179"/>
      <c r="E109" s="179"/>
      <c r="F109" s="179"/>
    </row>
    <row r="110" spans="2:6" ht="13.5" customHeight="1">
      <c r="B110" s="179"/>
      <c r="C110" s="179"/>
      <c r="D110" s="179"/>
      <c r="E110" s="179"/>
      <c r="F110" s="179"/>
    </row>
    <row r="111" spans="2:6" ht="13.5" customHeight="1">
      <c r="B111" s="179"/>
      <c r="C111" s="179"/>
      <c r="D111" s="179"/>
      <c r="E111" s="179"/>
      <c r="F111" s="179"/>
    </row>
    <row r="112" spans="2:6" ht="13.5" customHeight="1">
      <c r="B112" s="179"/>
      <c r="C112" s="179"/>
      <c r="D112" s="179"/>
      <c r="E112" s="179"/>
      <c r="F112" s="179"/>
    </row>
    <row r="113" spans="2:6" ht="13.5" customHeight="1">
      <c r="B113" s="179"/>
      <c r="C113" s="179"/>
      <c r="D113" s="179"/>
      <c r="E113" s="179"/>
      <c r="F113" s="179"/>
    </row>
    <row r="114" spans="2:6" ht="13.5" customHeight="1">
      <c r="B114" s="179"/>
      <c r="C114" s="179"/>
      <c r="D114" s="179"/>
      <c r="E114" s="179"/>
      <c r="F114" s="179"/>
    </row>
    <row r="115" spans="2:6" ht="13.5" customHeight="1">
      <c r="B115" s="179"/>
      <c r="C115" s="179"/>
      <c r="D115" s="179"/>
      <c r="E115" s="179"/>
      <c r="F115" s="179"/>
    </row>
    <row r="116" spans="2:6" ht="13.5" customHeight="1">
      <c r="B116" s="179"/>
      <c r="C116" s="179"/>
      <c r="D116" s="179"/>
      <c r="E116" s="179"/>
      <c r="F116" s="179"/>
    </row>
    <row r="117" spans="2:6" ht="13.5" customHeight="1">
      <c r="B117" s="179"/>
      <c r="C117" s="179"/>
      <c r="D117" s="179"/>
      <c r="E117" s="179"/>
      <c r="F117" s="179"/>
    </row>
    <row r="118" spans="2:6" ht="13.5" customHeight="1">
      <c r="B118" s="179"/>
      <c r="C118" s="179"/>
      <c r="D118" s="179"/>
      <c r="E118" s="179"/>
      <c r="F118" s="179"/>
    </row>
    <row r="119" spans="2:6" ht="13.5" customHeight="1">
      <c r="B119" s="179"/>
      <c r="C119" s="179"/>
      <c r="D119" s="179"/>
      <c r="E119" s="179"/>
      <c r="F119" s="179"/>
    </row>
    <row r="120" spans="2:6" ht="13.5" customHeight="1">
      <c r="B120" s="179"/>
      <c r="C120" s="179"/>
      <c r="D120" s="179"/>
      <c r="E120" s="179"/>
      <c r="F120" s="179"/>
    </row>
    <row r="121" spans="2:6" ht="13.5" customHeight="1">
      <c r="B121" s="179"/>
      <c r="C121" s="179"/>
      <c r="D121" s="179"/>
      <c r="E121" s="179"/>
      <c r="F121" s="179"/>
    </row>
    <row r="122" spans="2:6" ht="13.5" customHeight="1">
      <c r="B122" s="179"/>
      <c r="C122" s="179"/>
      <c r="D122" s="179"/>
      <c r="E122" s="179"/>
      <c r="F122" s="179"/>
    </row>
    <row r="123" spans="2:6" ht="13.5" customHeight="1">
      <c r="B123" s="179"/>
      <c r="C123" s="179"/>
      <c r="D123" s="179"/>
      <c r="E123" s="179"/>
      <c r="F123" s="179"/>
    </row>
    <row r="124" spans="2:6" ht="13.5" customHeight="1">
      <c r="B124" s="179"/>
      <c r="C124" s="179"/>
      <c r="D124" s="179"/>
      <c r="E124" s="179"/>
      <c r="F124" s="179"/>
    </row>
    <row r="125" spans="2:6" ht="13.5" customHeight="1">
      <c r="B125" s="179"/>
      <c r="C125" s="179"/>
      <c r="D125" s="179"/>
      <c r="E125" s="179"/>
      <c r="F125" s="179"/>
    </row>
    <row r="126" spans="2:6" ht="13.5" customHeight="1">
      <c r="B126" s="179"/>
      <c r="C126" s="179"/>
      <c r="D126" s="179"/>
      <c r="E126" s="179"/>
      <c r="F126" s="179"/>
    </row>
    <row r="127" spans="2:6" ht="13.5" customHeight="1">
      <c r="B127" s="179"/>
      <c r="C127" s="179"/>
      <c r="D127" s="179"/>
      <c r="E127" s="179"/>
      <c r="F127" s="179"/>
    </row>
    <row r="128" spans="2:6" ht="13.5" customHeight="1">
      <c r="B128" s="179"/>
      <c r="C128" s="179"/>
      <c r="D128" s="179"/>
      <c r="E128" s="179"/>
      <c r="F128" s="179"/>
    </row>
    <row r="129" spans="2:6" ht="13.5" customHeight="1">
      <c r="B129" s="179"/>
      <c r="C129" s="179"/>
      <c r="D129" s="179"/>
      <c r="E129" s="179"/>
      <c r="F129" s="179"/>
    </row>
    <row r="130" spans="2:6" ht="13.5" customHeight="1">
      <c r="B130" s="179"/>
      <c r="C130" s="179"/>
      <c r="D130" s="179"/>
      <c r="E130" s="179"/>
      <c r="F130" s="179"/>
    </row>
    <row r="131" spans="2:6" ht="13.5" customHeight="1">
      <c r="B131" s="179"/>
      <c r="C131" s="179"/>
      <c r="D131" s="179"/>
      <c r="E131" s="179"/>
      <c r="F131" s="179"/>
    </row>
    <row r="132" spans="2:6" ht="13.5" customHeight="1">
      <c r="B132" s="179"/>
      <c r="C132" s="179"/>
      <c r="D132" s="179"/>
      <c r="E132" s="179"/>
      <c r="F132" s="179"/>
    </row>
    <row r="133" spans="2:6" ht="13.5" customHeight="1">
      <c r="B133" s="179"/>
      <c r="C133" s="179"/>
      <c r="D133" s="179"/>
      <c r="E133" s="179"/>
      <c r="F133" s="179"/>
    </row>
    <row r="134" spans="2:6" ht="13.5" customHeight="1">
      <c r="B134" s="179"/>
      <c r="C134" s="179"/>
      <c r="D134" s="179"/>
      <c r="E134" s="179"/>
      <c r="F134" s="179"/>
    </row>
    <row r="135" spans="2:6" ht="13.5" customHeight="1">
      <c r="B135" s="179"/>
      <c r="C135" s="179"/>
      <c r="D135" s="179"/>
      <c r="E135" s="179"/>
      <c r="F135" s="179"/>
    </row>
    <row r="136" spans="2:6" ht="13.5" customHeight="1">
      <c r="B136" s="179"/>
      <c r="C136" s="179"/>
      <c r="D136" s="179"/>
      <c r="E136" s="179"/>
      <c r="F136" s="179"/>
    </row>
    <row r="137" spans="2:6" ht="13.5" customHeight="1">
      <c r="B137" s="179"/>
      <c r="C137" s="179"/>
      <c r="D137" s="179"/>
      <c r="E137" s="179"/>
      <c r="F137" s="179"/>
    </row>
    <row r="138" spans="2:6" ht="13.5" customHeight="1">
      <c r="B138" s="179"/>
      <c r="C138" s="179"/>
      <c r="D138" s="179"/>
      <c r="E138" s="179"/>
      <c r="F138" s="179"/>
    </row>
    <row r="139" spans="2:6" ht="13.5" customHeight="1">
      <c r="B139" s="179"/>
      <c r="C139" s="179"/>
      <c r="D139" s="179"/>
      <c r="E139" s="179"/>
      <c r="F139" s="179"/>
    </row>
    <row r="140" spans="2:6" ht="13.5" customHeight="1">
      <c r="B140" s="179"/>
      <c r="C140" s="179"/>
      <c r="D140" s="179"/>
      <c r="E140" s="179"/>
      <c r="F140" s="179"/>
    </row>
    <row r="141" spans="2:6" ht="13.5" customHeight="1">
      <c r="B141" s="179"/>
      <c r="C141" s="179"/>
      <c r="D141" s="179"/>
      <c r="E141" s="179"/>
      <c r="F141" s="179"/>
    </row>
    <row r="142" spans="2:6" ht="13.5" customHeight="1">
      <c r="B142" s="179"/>
      <c r="C142" s="179"/>
      <c r="D142" s="179"/>
      <c r="E142" s="179"/>
      <c r="F142" s="179"/>
    </row>
    <row r="143" spans="2:6" ht="13.5" customHeight="1">
      <c r="B143" s="179"/>
      <c r="C143" s="179"/>
      <c r="D143" s="179"/>
      <c r="E143" s="179"/>
      <c r="F143" s="179"/>
    </row>
    <row r="144" spans="2:6" ht="13.5" customHeight="1">
      <c r="B144" s="179"/>
      <c r="C144" s="179"/>
      <c r="D144" s="179"/>
      <c r="E144" s="179"/>
      <c r="F144" s="179"/>
    </row>
    <row r="145" spans="2:6" ht="13.5" customHeight="1">
      <c r="B145" s="179"/>
      <c r="C145" s="179"/>
      <c r="D145" s="179"/>
      <c r="E145" s="179"/>
      <c r="F145" s="179"/>
    </row>
    <row r="146" spans="2:6" ht="13.5" customHeight="1">
      <c r="B146" s="179"/>
      <c r="C146" s="179"/>
      <c r="D146" s="179"/>
      <c r="E146" s="179"/>
      <c r="F146" s="179"/>
    </row>
    <row r="147" spans="2:6" ht="13.5" customHeight="1">
      <c r="B147" s="179"/>
      <c r="C147" s="179"/>
      <c r="D147" s="179"/>
      <c r="E147" s="179"/>
      <c r="F147" s="179"/>
    </row>
    <row r="148" spans="2:6" ht="13.5" customHeight="1">
      <c r="B148" s="179"/>
      <c r="C148" s="179"/>
      <c r="D148" s="179"/>
      <c r="E148" s="179"/>
      <c r="F148" s="179"/>
    </row>
    <row r="149" spans="2:6" ht="13.5" customHeight="1">
      <c r="B149" s="179"/>
      <c r="C149" s="179"/>
      <c r="D149" s="179"/>
      <c r="E149" s="179"/>
      <c r="F149" s="179"/>
    </row>
    <row r="150" spans="2:6" ht="13.5" customHeight="1">
      <c r="B150" s="179"/>
      <c r="C150" s="179"/>
      <c r="D150" s="179"/>
      <c r="E150" s="179"/>
      <c r="F150" s="179"/>
    </row>
    <row r="151" spans="2:6" ht="13.5" customHeight="1">
      <c r="B151" s="179"/>
      <c r="C151" s="179"/>
      <c r="D151" s="179"/>
      <c r="E151" s="179"/>
      <c r="F151" s="179"/>
    </row>
    <row r="152" spans="2:6" ht="13.5" customHeight="1">
      <c r="B152" s="179"/>
      <c r="C152" s="179"/>
      <c r="D152" s="179"/>
      <c r="E152" s="179"/>
      <c r="F152" s="179"/>
    </row>
    <row r="153" spans="2:6" ht="13.5" customHeight="1">
      <c r="B153" s="179"/>
      <c r="C153" s="179"/>
      <c r="D153" s="179"/>
      <c r="E153" s="179"/>
      <c r="F153" s="179"/>
    </row>
    <row r="154" spans="2:6" ht="13.5" customHeight="1">
      <c r="B154" s="179"/>
      <c r="C154" s="179"/>
      <c r="D154" s="179"/>
      <c r="E154" s="179"/>
      <c r="F154" s="179"/>
    </row>
    <row r="155" spans="2:6" ht="13.5" customHeight="1">
      <c r="B155" s="179"/>
      <c r="C155" s="179"/>
      <c r="D155" s="179"/>
      <c r="E155" s="179"/>
      <c r="F155" s="179"/>
    </row>
    <row r="156" spans="2:6" ht="13.5" customHeight="1">
      <c r="B156" s="179"/>
      <c r="C156" s="179"/>
      <c r="D156" s="179"/>
      <c r="E156" s="179"/>
      <c r="F156" s="179"/>
    </row>
    <row r="157" spans="2:6" ht="13.5" customHeight="1">
      <c r="B157" s="179"/>
      <c r="C157" s="179"/>
      <c r="D157" s="179"/>
      <c r="E157" s="179"/>
      <c r="F157" s="179"/>
    </row>
    <row r="158" spans="2:6" ht="13.5" customHeight="1">
      <c r="B158" s="179"/>
      <c r="C158" s="179"/>
      <c r="D158" s="179"/>
      <c r="E158" s="179"/>
      <c r="F158" s="179"/>
    </row>
    <row r="159" spans="2:6" ht="13.5" customHeight="1">
      <c r="B159" s="179"/>
      <c r="C159" s="179"/>
      <c r="D159" s="179"/>
      <c r="E159" s="179"/>
      <c r="F159" s="179"/>
    </row>
    <row r="160" spans="2:6" ht="13.5" customHeight="1">
      <c r="B160" s="179"/>
      <c r="C160" s="179"/>
      <c r="D160" s="179"/>
      <c r="E160" s="179"/>
      <c r="F160" s="179"/>
    </row>
    <row r="161" spans="2:6" ht="13.5" customHeight="1">
      <c r="B161" s="179"/>
      <c r="C161" s="179"/>
      <c r="D161" s="179"/>
      <c r="E161" s="179"/>
      <c r="F161" s="179"/>
    </row>
    <row r="162" spans="2:6" ht="13.5" customHeight="1">
      <c r="B162" s="179"/>
      <c r="C162" s="179"/>
      <c r="D162" s="179"/>
      <c r="E162" s="179"/>
      <c r="F162" s="179"/>
    </row>
    <row r="163" spans="2:6" ht="13.5" customHeight="1">
      <c r="B163" s="179"/>
      <c r="C163" s="179"/>
      <c r="D163" s="179"/>
      <c r="E163" s="179"/>
      <c r="F163" s="179"/>
    </row>
    <row r="164" spans="2:6" ht="13.5" customHeight="1">
      <c r="B164" s="179"/>
      <c r="C164" s="179"/>
      <c r="D164" s="179"/>
      <c r="E164" s="179"/>
      <c r="F164" s="179"/>
    </row>
    <row r="165" spans="2:6" ht="13.5" customHeight="1">
      <c r="B165" s="179"/>
      <c r="C165" s="179"/>
      <c r="D165" s="179"/>
      <c r="E165" s="179"/>
      <c r="F165" s="179"/>
    </row>
    <row r="166" spans="2:6" ht="13.5" customHeight="1">
      <c r="B166" s="179"/>
      <c r="C166" s="179"/>
      <c r="D166" s="179"/>
      <c r="E166" s="179"/>
      <c r="F166" s="179"/>
    </row>
    <row r="167" spans="2:6" ht="13.5" customHeight="1">
      <c r="B167" s="179"/>
      <c r="C167" s="179"/>
      <c r="D167" s="179"/>
      <c r="E167" s="179"/>
      <c r="F167" s="179"/>
    </row>
    <row r="168" spans="2:6" ht="13.5" customHeight="1">
      <c r="B168" s="179"/>
      <c r="C168" s="179"/>
      <c r="D168" s="179"/>
      <c r="E168" s="179"/>
      <c r="F168" s="179"/>
    </row>
    <row r="169" spans="2:6" ht="13.5" customHeight="1">
      <c r="B169" s="179"/>
      <c r="C169" s="179"/>
      <c r="D169" s="179"/>
      <c r="E169" s="179"/>
      <c r="F169" s="179"/>
    </row>
    <row r="170" spans="2:6" ht="13.5" customHeight="1">
      <c r="B170" s="179"/>
      <c r="C170" s="179"/>
      <c r="D170" s="179"/>
      <c r="E170" s="179"/>
      <c r="F170" s="179"/>
    </row>
    <row r="171" spans="2:6" ht="13.5" customHeight="1">
      <c r="B171" s="179"/>
      <c r="C171" s="179"/>
      <c r="D171" s="179"/>
      <c r="E171" s="179"/>
      <c r="F171" s="179"/>
    </row>
    <row r="172" spans="2:6" ht="13.5" customHeight="1">
      <c r="B172" s="179"/>
      <c r="C172" s="179"/>
      <c r="D172" s="179"/>
      <c r="E172" s="179"/>
      <c r="F172" s="179"/>
    </row>
    <row r="173" spans="2:6" ht="13.5" customHeight="1">
      <c r="B173" s="179"/>
      <c r="C173" s="179"/>
      <c r="D173" s="179"/>
      <c r="E173" s="179"/>
      <c r="F173" s="179"/>
    </row>
    <row r="174" spans="2:6" ht="13.5" customHeight="1">
      <c r="B174" s="179"/>
      <c r="C174" s="179"/>
      <c r="D174" s="179"/>
      <c r="E174" s="179"/>
      <c r="F174" s="179"/>
    </row>
    <row r="175" spans="2:6" ht="13.5" customHeight="1">
      <c r="B175" s="179"/>
      <c r="C175" s="179"/>
      <c r="D175" s="179"/>
      <c r="E175" s="179"/>
      <c r="F175" s="179"/>
    </row>
    <row r="176" spans="2:6" ht="13.5" customHeight="1">
      <c r="B176" s="179"/>
      <c r="C176" s="179"/>
      <c r="D176" s="179"/>
      <c r="E176" s="179"/>
      <c r="F176" s="179"/>
    </row>
    <row r="177" spans="2:6" ht="13.5" customHeight="1">
      <c r="B177" s="179"/>
      <c r="C177" s="179"/>
      <c r="D177" s="179"/>
      <c r="E177" s="179"/>
      <c r="F177" s="179"/>
    </row>
    <row r="178" spans="2:6" ht="13.5" customHeight="1">
      <c r="B178" s="179"/>
      <c r="C178" s="179"/>
      <c r="D178" s="179"/>
      <c r="E178" s="179"/>
      <c r="F178" s="179"/>
    </row>
    <row r="179" spans="2:6" ht="13.5" customHeight="1">
      <c r="B179" s="179"/>
      <c r="C179" s="179"/>
      <c r="D179" s="179"/>
      <c r="E179" s="179"/>
      <c r="F179" s="179"/>
    </row>
    <row r="180" spans="2:6" ht="13.5" customHeight="1">
      <c r="B180" s="179"/>
      <c r="C180" s="179"/>
      <c r="D180" s="179"/>
      <c r="E180" s="179"/>
      <c r="F180" s="179"/>
    </row>
    <row r="181" spans="2:6" ht="13.5" customHeight="1">
      <c r="B181" s="179"/>
      <c r="C181" s="179"/>
      <c r="D181" s="179"/>
      <c r="E181" s="179"/>
      <c r="F181" s="179"/>
    </row>
    <row r="182" spans="2:6" ht="13.5" customHeight="1">
      <c r="B182" s="179"/>
      <c r="C182" s="179"/>
      <c r="D182" s="179"/>
      <c r="E182" s="179"/>
      <c r="F182" s="179"/>
    </row>
    <row r="183" spans="2:6" ht="13.5" customHeight="1">
      <c r="B183" s="179"/>
      <c r="C183" s="179"/>
      <c r="D183" s="179"/>
      <c r="E183" s="179"/>
      <c r="F183" s="179"/>
    </row>
    <row r="184" spans="2:6" ht="13.5" customHeight="1">
      <c r="B184" s="179"/>
      <c r="C184" s="179"/>
      <c r="D184" s="179"/>
      <c r="E184" s="179"/>
      <c r="F184" s="179"/>
    </row>
    <row r="185" spans="2:6" ht="13.5" customHeight="1">
      <c r="B185" s="179"/>
      <c r="C185" s="179"/>
      <c r="D185" s="179"/>
      <c r="E185" s="179"/>
      <c r="F185" s="179"/>
    </row>
    <row r="186" spans="2:6" ht="13.5" customHeight="1">
      <c r="B186" s="179"/>
      <c r="C186" s="179"/>
      <c r="D186" s="179"/>
      <c r="E186" s="179"/>
      <c r="F186" s="179"/>
    </row>
    <row r="187" spans="2:6" ht="13.5" customHeight="1">
      <c r="B187" s="179"/>
      <c r="C187" s="179"/>
      <c r="D187" s="179"/>
      <c r="E187" s="179"/>
      <c r="F187" s="179"/>
    </row>
    <row r="188" spans="2:6" ht="13.5" customHeight="1">
      <c r="B188" s="179"/>
      <c r="C188" s="179"/>
      <c r="D188" s="179"/>
      <c r="E188" s="179"/>
      <c r="F188" s="179"/>
    </row>
    <row r="189" spans="2:6" ht="13.5" customHeight="1">
      <c r="B189" s="179"/>
      <c r="C189" s="179"/>
      <c r="D189" s="179"/>
      <c r="E189" s="179"/>
      <c r="F189" s="179"/>
    </row>
    <row r="190" spans="2:6" ht="13.5" customHeight="1">
      <c r="B190" s="179"/>
      <c r="C190" s="179"/>
      <c r="D190" s="179"/>
      <c r="E190" s="179"/>
      <c r="F190" s="179"/>
    </row>
    <row r="191" spans="2:6" ht="13.5" customHeight="1">
      <c r="B191" s="179"/>
      <c r="C191" s="179"/>
      <c r="D191" s="179"/>
      <c r="E191" s="179"/>
      <c r="F191" s="179"/>
    </row>
    <row r="192" spans="2:6" ht="13.5" customHeight="1">
      <c r="B192" s="179"/>
      <c r="C192" s="179"/>
      <c r="D192" s="179"/>
      <c r="E192" s="179"/>
      <c r="F192" s="179"/>
    </row>
    <row r="193" spans="2:6" ht="13.5" customHeight="1">
      <c r="B193" s="179"/>
      <c r="C193" s="179"/>
      <c r="D193" s="179"/>
      <c r="E193" s="179"/>
      <c r="F193" s="179"/>
    </row>
    <row r="194" spans="2:6" ht="13.5" customHeight="1">
      <c r="B194" s="179"/>
      <c r="C194" s="179"/>
      <c r="D194" s="179"/>
      <c r="E194" s="179"/>
      <c r="F194" s="179"/>
    </row>
    <row r="195" spans="2:6" ht="13.5" customHeight="1">
      <c r="B195" s="179"/>
      <c r="C195" s="179"/>
      <c r="D195" s="179"/>
      <c r="E195" s="179"/>
      <c r="F195" s="179"/>
    </row>
    <row r="196" spans="2:6" ht="13.5" customHeight="1">
      <c r="B196" s="179"/>
      <c r="C196" s="179"/>
      <c r="D196" s="179"/>
      <c r="E196" s="179"/>
      <c r="F196" s="179"/>
    </row>
    <row r="197" spans="2:6" ht="13.5" customHeight="1">
      <c r="B197" s="179"/>
      <c r="C197" s="179"/>
      <c r="D197" s="179"/>
      <c r="E197" s="179"/>
      <c r="F197" s="179"/>
    </row>
    <row r="198" spans="2:6" ht="13.5" customHeight="1">
      <c r="B198" s="179"/>
      <c r="C198" s="179"/>
      <c r="D198" s="179"/>
      <c r="E198" s="179"/>
      <c r="F198" s="179"/>
    </row>
    <row r="199" spans="2:6" ht="13.5" customHeight="1">
      <c r="B199" s="179"/>
      <c r="C199" s="179"/>
      <c r="D199" s="179"/>
      <c r="E199" s="179"/>
      <c r="F199" s="179"/>
    </row>
    <row r="200" spans="2:6" ht="13.5" customHeight="1">
      <c r="B200" s="179"/>
      <c r="C200" s="179"/>
      <c r="D200" s="179"/>
      <c r="E200" s="179"/>
      <c r="F200" s="179"/>
    </row>
    <row r="201" spans="2:6" ht="13.5" customHeight="1">
      <c r="B201" s="179"/>
      <c r="C201" s="179"/>
      <c r="D201" s="179"/>
      <c r="E201" s="179"/>
      <c r="F201" s="179"/>
    </row>
    <row r="202" spans="2:6" ht="13.5" customHeight="1">
      <c r="B202" s="179"/>
      <c r="C202" s="179"/>
      <c r="D202" s="179"/>
      <c r="E202" s="179"/>
      <c r="F202" s="179"/>
    </row>
    <row r="203" spans="2:6" ht="13.5" customHeight="1">
      <c r="B203" s="179"/>
      <c r="C203" s="179"/>
      <c r="D203" s="179"/>
      <c r="E203" s="179"/>
      <c r="F203" s="179"/>
    </row>
    <row r="204" spans="2:6" ht="13.5" customHeight="1">
      <c r="B204" s="179"/>
      <c r="C204" s="179"/>
      <c r="D204" s="179"/>
      <c r="E204" s="179"/>
      <c r="F204" s="179"/>
    </row>
    <row r="205" spans="2:6" ht="13.5" customHeight="1">
      <c r="B205" s="179"/>
      <c r="C205" s="179"/>
      <c r="D205" s="179"/>
      <c r="E205" s="179"/>
      <c r="F205" s="179"/>
    </row>
    <row r="206" spans="2:6" ht="13.5" customHeight="1">
      <c r="B206" s="179"/>
      <c r="C206" s="179"/>
      <c r="D206" s="179"/>
      <c r="E206" s="179"/>
      <c r="F206" s="179"/>
    </row>
    <row r="207" spans="2:6" ht="13.5" customHeight="1">
      <c r="B207" s="179"/>
      <c r="C207" s="179"/>
      <c r="D207" s="179"/>
      <c r="E207" s="179"/>
      <c r="F207" s="179"/>
    </row>
    <row r="208" spans="2:6" ht="13.5" customHeight="1">
      <c r="B208" s="179"/>
      <c r="C208" s="179"/>
      <c r="D208" s="179"/>
      <c r="E208" s="179"/>
      <c r="F208" s="179"/>
    </row>
    <row r="209" spans="2:6" ht="13.5" customHeight="1">
      <c r="B209" s="179"/>
      <c r="C209" s="179"/>
      <c r="D209" s="179"/>
      <c r="E209" s="179"/>
      <c r="F209" s="179"/>
    </row>
    <row r="210" spans="2:6" ht="13.5" customHeight="1">
      <c r="B210" s="179"/>
      <c r="C210" s="179"/>
      <c r="D210" s="179"/>
      <c r="E210" s="179"/>
      <c r="F210" s="179"/>
    </row>
    <row r="211" spans="2:6" ht="13.5" customHeight="1">
      <c r="B211" s="179"/>
      <c r="C211" s="179"/>
      <c r="D211" s="179"/>
      <c r="E211" s="179"/>
      <c r="F211" s="179"/>
    </row>
    <row r="212" spans="2:6" ht="13.5" customHeight="1">
      <c r="B212" s="179"/>
      <c r="C212" s="179"/>
      <c r="D212" s="179"/>
      <c r="E212" s="179"/>
      <c r="F212" s="179"/>
    </row>
    <row r="213" spans="2:6" ht="13.5" customHeight="1">
      <c r="B213" s="179"/>
      <c r="C213" s="179"/>
      <c r="D213" s="179"/>
      <c r="E213" s="179"/>
      <c r="F213" s="179"/>
    </row>
    <row r="214" spans="2:6" ht="13.5" customHeight="1">
      <c r="B214" s="179"/>
      <c r="C214" s="179"/>
      <c r="D214" s="179"/>
      <c r="E214" s="179"/>
      <c r="F214" s="179"/>
    </row>
    <row r="215" spans="2:6" ht="13.5" customHeight="1">
      <c r="B215" s="179"/>
      <c r="C215" s="179"/>
      <c r="D215" s="179"/>
      <c r="E215" s="179"/>
      <c r="F215" s="179"/>
    </row>
    <row r="216" spans="2:6" ht="13.5" customHeight="1">
      <c r="B216" s="179"/>
      <c r="C216" s="179"/>
      <c r="D216" s="179"/>
      <c r="E216" s="179"/>
      <c r="F216" s="179"/>
    </row>
    <row r="217" spans="2:6" ht="13.5" customHeight="1">
      <c r="B217" s="179"/>
      <c r="C217" s="179"/>
      <c r="D217" s="179"/>
      <c r="E217" s="179"/>
      <c r="F217" s="179"/>
    </row>
    <row r="218" spans="2:6" ht="13.5" customHeight="1">
      <c r="B218" s="179"/>
      <c r="C218" s="179"/>
      <c r="D218" s="179"/>
      <c r="E218" s="179"/>
      <c r="F218" s="179"/>
    </row>
    <row r="219" spans="2:6" ht="13.5" customHeight="1">
      <c r="B219" s="179"/>
      <c r="C219" s="179"/>
      <c r="D219" s="179"/>
      <c r="E219" s="179"/>
      <c r="F219" s="179"/>
    </row>
    <row r="220" spans="2:6" ht="13.5" customHeight="1">
      <c r="B220" s="179"/>
      <c r="C220" s="179"/>
      <c r="D220" s="179"/>
      <c r="E220" s="179"/>
      <c r="F220" s="179"/>
    </row>
    <row r="221" spans="2:6" ht="13.5" customHeight="1">
      <c r="B221" s="179"/>
      <c r="C221" s="179"/>
      <c r="D221" s="179"/>
      <c r="E221" s="179"/>
      <c r="F221" s="179"/>
    </row>
    <row r="222" spans="2:6" ht="13.5" customHeight="1">
      <c r="B222" s="179"/>
      <c r="C222" s="179"/>
      <c r="D222" s="179"/>
      <c r="E222" s="179"/>
      <c r="F222" s="179"/>
    </row>
    <row r="223" spans="2:6" ht="13.5" customHeight="1">
      <c r="B223" s="179"/>
      <c r="C223" s="179"/>
      <c r="D223" s="179"/>
      <c r="E223" s="179"/>
      <c r="F223" s="179"/>
    </row>
    <row r="224" spans="2:6" ht="13.5" customHeight="1">
      <c r="B224" s="179"/>
      <c r="C224" s="179"/>
      <c r="D224" s="179"/>
      <c r="E224" s="179"/>
      <c r="F224" s="17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I4:M4"/>
    <mergeCell ref="B12:F12"/>
    <mergeCell ref="A18:A19"/>
    <mergeCell ref="B18:F18"/>
    <mergeCell ref="A4:A5"/>
    <mergeCell ref="B4:F4"/>
    <mergeCell ref="H4:H5"/>
  </mergeCells>
  <pageMargins left="0.7" right="0.7" top="0.75" bottom="0.75" header="0" footer="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  <pageSetUpPr fitToPage="1"/>
  </sheetPr>
  <dimension ref="A1:U1000"/>
  <sheetViews>
    <sheetView showGridLines="0" workbookViewId="0"/>
  </sheetViews>
  <sheetFormatPr defaultColWidth="14.42578125" defaultRowHeight="15" customHeight="1"/>
  <cols>
    <col min="1" max="3" width="26.7109375" customWidth="1"/>
    <col min="4" max="4" width="2" customWidth="1"/>
    <col min="5" max="6" width="39.140625" customWidth="1"/>
    <col min="7" max="7" width="1.5703125" customWidth="1"/>
    <col min="8" max="10" width="23.85546875" customWidth="1"/>
    <col min="11" max="21" width="12.28515625" customWidth="1"/>
    <col min="22" max="26" width="14.5703125" customWidth="1"/>
  </cols>
  <sheetData>
    <row r="1" spans="1:21" ht="9" customHeight="1">
      <c r="A1" s="66"/>
      <c r="B1" s="179"/>
      <c r="C1" s="179"/>
      <c r="D1" s="306"/>
      <c r="E1" s="179"/>
      <c r="F1" s="179"/>
      <c r="G1" s="30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1" ht="15.75" customHeight="1">
      <c r="A2" s="66"/>
      <c r="B2" s="179"/>
      <c r="C2" s="179"/>
      <c r="D2" s="306"/>
      <c r="E2" s="179"/>
      <c r="F2" s="179"/>
      <c r="G2" s="30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1:21" ht="15.75" customHeight="1">
      <c r="A3" s="66"/>
      <c r="B3" s="179"/>
      <c r="C3" s="179"/>
      <c r="D3" s="306"/>
      <c r="E3" s="179"/>
      <c r="F3" s="179"/>
      <c r="G3" s="30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1" ht="15.75" customHeight="1">
      <c r="A4" s="66"/>
      <c r="B4" s="179"/>
      <c r="C4" s="179"/>
      <c r="D4" s="306"/>
      <c r="E4" s="179"/>
      <c r="F4" s="179"/>
      <c r="G4" s="30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</row>
    <row r="5" spans="1:21" ht="15.75" customHeight="1">
      <c r="A5" s="66"/>
      <c r="B5" s="179"/>
      <c r="C5" s="179"/>
      <c r="D5" s="306"/>
      <c r="E5" s="179"/>
      <c r="F5" s="179"/>
      <c r="G5" s="30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</row>
    <row r="6" spans="1:21" ht="15.75" customHeight="1">
      <c r="A6" s="66"/>
      <c r="B6" s="179"/>
      <c r="C6" s="179"/>
      <c r="D6" s="306"/>
      <c r="E6" s="179"/>
      <c r="F6" s="179"/>
      <c r="G6" s="30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</row>
    <row r="7" spans="1:21" ht="15.75" customHeight="1">
      <c r="A7" s="66"/>
      <c r="B7" s="179"/>
      <c r="C7" s="179"/>
      <c r="D7" s="306"/>
      <c r="E7" s="179"/>
      <c r="F7" s="179"/>
      <c r="G7" s="30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</row>
    <row r="8" spans="1:21" ht="15.75" customHeight="1">
      <c r="A8" s="66"/>
      <c r="B8" s="179"/>
      <c r="C8" s="179"/>
      <c r="D8" s="306"/>
      <c r="E8" s="179"/>
      <c r="F8" s="179"/>
      <c r="G8" s="30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</row>
    <row r="9" spans="1:21" ht="15.75" customHeight="1">
      <c r="A9" s="66"/>
      <c r="B9" s="179"/>
      <c r="C9" s="179"/>
      <c r="D9" s="306"/>
      <c r="E9" s="179"/>
      <c r="F9" s="179"/>
      <c r="G9" s="30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</row>
    <row r="10" spans="1:21" ht="15.75" customHeight="1">
      <c r="A10" s="66"/>
      <c r="B10" s="179"/>
      <c r="C10" s="179"/>
      <c r="D10" s="306"/>
      <c r="E10" s="179"/>
      <c r="F10" s="179"/>
      <c r="G10" s="30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</row>
    <row r="11" spans="1:21" ht="15.75" customHeight="1">
      <c r="A11" s="66"/>
      <c r="B11" s="179"/>
      <c r="C11" s="179"/>
      <c r="D11" s="306"/>
      <c r="E11" s="179"/>
      <c r="F11" s="179"/>
      <c r="G11" s="30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</row>
    <row r="12" spans="1:21" ht="15.75" customHeight="1">
      <c r="A12" s="66"/>
      <c r="B12" s="179"/>
      <c r="C12" s="179"/>
      <c r="D12" s="306"/>
      <c r="E12" s="179"/>
      <c r="F12" s="179"/>
      <c r="G12" s="30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</row>
    <row r="13" spans="1:21" ht="15.75" customHeight="1">
      <c r="A13" s="66"/>
      <c r="B13" s="179"/>
      <c r="C13" s="179"/>
      <c r="D13" s="306"/>
      <c r="E13" s="179"/>
      <c r="F13" s="179"/>
      <c r="G13" s="30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</row>
    <row r="14" spans="1:21" ht="15.75" customHeight="1">
      <c r="A14" s="66"/>
      <c r="B14" s="179"/>
      <c r="C14" s="179"/>
      <c r="D14" s="306"/>
      <c r="E14" s="179"/>
      <c r="F14" s="179"/>
      <c r="G14" s="30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</row>
    <row r="15" spans="1:21" ht="15.75" customHeight="1">
      <c r="A15" s="66"/>
      <c r="B15" s="179"/>
      <c r="C15" s="179"/>
      <c r="D15" s="306"/>
      <c r="E15" s="179"/>
      <c r="F15" s="179"/>
      <c r="G15" s="30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</row>
    <row r="16" spans="1:21" ht="15.75" customHeight="1">
      <c r="A16" s="66"/>
      <c r="B16" s="179"/>
      <c r="C16" s="179"/>
      <c r="D16" s="306"/>
      <c r="E16" s="179"/>
      <c r="F16" s="179"/>
      <c r="G16" s="30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</row>
    <row r="17" spans="1:21" ht="9" customHeight="1">
      <c r="A17" s="307"/>
      <c r="B17" s="306"/>
      <c r="C17" s="306"/>
      <c r="D17" s="306"/>
      <c r="E17" s="306"/>
      <c r="F17" s="306"/>
      <c r="G17" s="306"/>
      <c r="H17" s="307"/>
      <c r="I17" s="307"/>
      <c r="J17" s="307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</row>
    <row r="18" spans="1:21" ht="18" customHeight="1">
      <c r="A18" s="66"/>
      <c r="B18" s="179"/>
      <c r="C18" s="179"/>
      <c r="D18" s="306"/>
      <c r="E18" s="179"/>
      <c r="F18" s="179"/>
      <c r="G18" s="30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</row>
    <row r="19" spans="1:21" ht="18" customHeight="1">
      <c r="A19" s="66"/>
      <c r="B19" s="179"/>
      <c r="C19" s="179"/>
      <c r="D19" s="306"/>
      <c r="E19" s="179"/>
      <c r="F19" s="179"/>
      <c r="G19" s="30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</row>
    <row r="20" spans="1:21" ht="18" customHeight="1">
      <c r="A20" s="66"/>
      <c r="B20" s="179"/>
      <c r="C20" s="179"/>
      <c r="D20" s="306"/>
      <c r="E20" s="179"/>
      <c r="F20" s="179"/>
      <c r="G20" s="30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</row>
    <row r="21" spans="1:21" ht="18" customHeight="1">
      <c r="A21" s="66"/>
      <c r="B21" s="179"/>
      <c r="C21" s="179"/>
      <c r="D21" s="306"/>
      <c r="E21" s="179"/>
      <c r="F21" s="179"/>
      <c r="G21" s="30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spans="1:21" ht="18" customHeight="1">
      <c r="A22" s="66"/>
      <c r="B22" s="179"/>
      <c r="C22" s="179"/>
      <c r="D22" s="306"/>
      <c r="E22" s="179"/>
      <c r="F22" s="179"/>
      <c r="G22" s="30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</row>
    <row r="23" spans="1:21" ht="18" customHeight="1">
      <c r="A23" s="66"/>
      <c r="B23" s="179"/>
      <c r="C23" s="179"/>
      <c r="D23" s="306"/>
      <c r="E23" s="179"/>
      <c r="F23" s="179"/>
      <c r="G23" s="30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</row>
    <row r="24" spans="1:21" ht="18" customHeight="1">
      <c r="A24" s="66"/>
      <c r="B24" s="179"/>
      <c r="C24" s="179"/>
      <c r="D24" s="306"/>
      <c r="E24" s="179"/>
      <c r="F24" s="179"/>
      <c r="G24" s="30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</row>
    <row r="25" spans="1:21" ht="18" customHeight="1">
      <c r="A25" s="66"/>
      <c r="B25" s="179"/>
      <c r="C25" s="179"/>
      <c r="D25" s="306"/>
      <c r="E25" s="179"/>
      <c r="F25" s="179"/>
      <c r="G25" s="30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</row>
    <row r="26" spans="1:21" ht="18" customHeight="1">
      <c r="A26" s="66"/>
      <c r="B26" s="179"/>
      <c r="C26" s="179"/>
      <c r="D26" s="306"/>
      <c r="E26" s="179"/>
      <c r="F26" s="179"/>
      <c r="G26" s="30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</row>
    <row r="27" spans="1:21" ht="18" customHeight="1">
      <c r="A27" s="66"/>
      <c r="B27" s="179"/>
      <c r="C27" s="179"/>
      <c r="D27" s="306"/>
      <c r="E27" s="179"/>
      <c r="F27" s="179"/>
      <c r="G27" s="30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 spans="1:21" ht="18" customHeight="1">
      <c r="A28" s="66"/>
      <c r="B28" s="179"/>
      <c r="C28" s="179"/>
      <c r="D28" s="306"/>
      <c r="E28" s="179"/>
      <c r="F28" s="179"/>
      <c r="G28" s="30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  <row r="29" spans="1:21" ht="18" customHeight="1">
      <c r="A29" s="66"/>
      <c r="B29" s="179"/>
      <c r="C29" s="179"/>
      <c r="D29" s="306"/>
      <c r="E29" s="179"/>
      <c r="F29" s="179"/>
      <c r="G29" s="30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 spans="1:21" ht="18" customHeight="1">
      <c r="A30" s="66"/>
      <c r="B30" s="179"/>
      <c r="C30" s="179"/>
      <c r="D30" s="306"/>
      <c r="E30" s="179"/>
      <c r="F30" s="179"/>
      <c r="G30" s="30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spans="1:21" ht="18" customHeight="1">
      <c r="A31" s="66"/>
      <c r="B31" s="179"/>
      <c r="C31" s="179"/>
      <c r="D31" s="306"/>
      <c r="E31" s="179"/>
      <c r="F31" s="179"/>
      <c r="G31" s="30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spans="1:21" ht="18" customHeight="1">
      <c r="A32" s="66"/>
      <c r="B32" s="179"/>
      <c r="C32" s="179"/>
      <c r="D32" s="306"/>
      <c r="E32" s="179"/>
      <c r="F32" s="179"/>
      <c r="G32" s="30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</row>
    <row r="33" spans="1:21" ht="9" customHeight="1">
      <c r="A33" s="307"/>
      <c r="B33" s="306"/>
      <c r="C33" s="306"/>
      <c r="D33" s="306"/>
      <c r="E33" s="306"/>
      <c r="F33" s="306"/>
      <c r="G33" s="307"/>
      <c r="H33" s="307"/>
      <c r="I33" s="307"/>
      <c r="J33" s="307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 spans="1:21" ht="13.5" customHeight="1">
      <c r="A34" s="66"/>
      <c r="B34" s="179"/>
      <c r="C34" s="179"/>
      <c r="D34" s="179"/>
      <c r="E34" s="179"/>
      <c r="F34" s="179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spans="1:21" ht="13.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spans="1:21" ht="13.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 spans="1:21" ht="13.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 spans="1:21" ht="13.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 spans="1:21" ht="13.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 spans="1:21" ht="13.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</row>
    <row r="41" spans="1:21" ht="13.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</row>
    <row r="42" spans="1:21" ht="13.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 spans="1:21" ht="13.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</row>
    <row r="44" spans="1:21" ht="13.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</row>
    <row r="45" spans="1:21" ht="13.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</row>
    <row r="46" spans="1:21" ht="13.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</row>
    <row r="47" spans="1:21" ht="13.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</row>
    <row r="48" spans="1:21" ht="13.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</row>
    <row r="49" spans="1:21" ht="13.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</row>
    <row r="50" spans="1:21" ht="13.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 spans="1:21" ht="13.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</row>
    <row r="52" spans="1:21" ht="13.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</row>
    <row r="53" spans="1:21" ht="13.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</row>
    <row r="54" spans="1:21" ht="13.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</row>
    <row r="55" spans="1:21" ht="13.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</row>
    <row r="56" spans="1:21" ht="13.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</row>
    <row r="57" spans="1:21" ht="13.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</row>
    <row r="58" spans="1:21" ht="13.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</row>
    <row r="59" spans="1:21" ht="13.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</row>
    <row r="60" spans="1:21" ht="13.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</row>
    <row r="61" spans="1:21" ht="13.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</row>
    <row r="62" spans="1:21" ht="13.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 spans="1:21" ht="13.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spans="1:21" ht="13.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spans="1:21" ht="13.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 spans="1:21" ht="13.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</row>
    <row r="67" spans="1:21" ht="13.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</row>
    <row r="68" spans="1:21" ht="13.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</row>
    <row r="69" spans="1:21" ht="13.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</row>
    <row r="70" spans="1:21" ht="13.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</row>
    <row r="71" spans="1:21" ht="13.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</row>
    <row r="72" spans="1:21" ht="13.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</row>
    <row r="73" spans="1:21" ht="13.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</row>
    <row r="74" spans="1:21" ht="13.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</row>
    <row r="75" spans="1:21" ht="13.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</row>
    <row r="76" spans="1:21" ht="13.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</row>
    <row r="77" spans="1:21" ht="13.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</row>
    <row r="78" spans="1:21" ht="13.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</row>
    <row r="79" spans="1:21" ht="13.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</row>
    <row r="80" spans="1:21" ht="13.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</row>
    <row r="81" spans="1:21" ht="13.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</row>
    <row r="82" spans="1:21" ht="13.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</row>
    <row r="83" spans="1:21" ht="13.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</row>
    <row r="84" spans="1:21" ht="13.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</row>
    <row r="85" spans="1:21" ht="13.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</row>
    <row r="86" spans="1:21" ht="13.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</row>
    <row r="87" spans="1:21" ht="13.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</row>
    <row r="88" spans="1:21" ht="13.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</row>
    <row r="89" spans="1:21" ht="13.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</row>
    <row r="90" spans="1:21" ht="13.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</row>
    <row r="91" spans="1:21" ht="13.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</row>
    <row r="92" spans="1:21" ht="13.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</row>
    <row r="93" spans="1:21" ht="13.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</row>
    <row r="94" spans="1:21" ht="13.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</row>
    <row r="95" spans="1:21" ht="13.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</row>
    <row r="96" spans="1:21" ht="13.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</row>
    <row r="97" spans="1:21" ht="13.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</row>
    <row r="98" spans="1:21" ht="13.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</row>
    <row r="99" spans="1:21" ht="13.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</row>
    <row r="100" spans="1:21" ht="13.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</row>
    <row r="101" spans="1:21" ht="13.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</row>
    <row r="102" spans="1:21" ht="13.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</row>
    <row r="103" spans="1:21" ht="13.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</row>
    <row r="104" spans="1:21" ht="13.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</row>
    <row r="105" spans="1:21" ht="13.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</row>
    <row r="106" spans="1:21" ht="13.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</row>
    <row r="107" spans="1:21" ht="13.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</row>
    <row r="108" spans="1:21" ht="13.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</row>
    <row r="109" spans="1:21" ht="13.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</row>
    <row r="110" spans="1:21" ht="13.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</row>
    <row r="111" spans="1:21" ht="13.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</row>
    <row r="112" spans="1:21" ht="13.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</row>
    <row r="113" spans="1:21" ht="13.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</row>
    <row r="114" spans="1:21" ht="13.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</row>
    <row r="115" spans="1:21" ht="13.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</row>
    <row r="116" spans="1:21" ht="13.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</row>
    <row r="117" spans="1:21" ht="13.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</row>
    <row r="118" spans="1:21" ht="13.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</row>
    <row r="119" spans="1:21" ht="13.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</row>
    <row r="120" spans="1:21" ht="13.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</row>
    <row r="121" spans="1:21" ht="13.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</row>
    <row r="122" spans="1:21" ht="13.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</row>
    <row r="123" spans="1:21" ht="13.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</row>
    <row r="124" spans="1:21" ht="13.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</row>
    <row r="125" spans="1:21" ht="13.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</row>
    <row r="126" spans="1:21" ht="13.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</row>
    <row r="127" spans="1:21" ht="13.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</row>
    <row r="128" spans="1:21" ht="13.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</row>
    <row r="129" spans="1:21" ht="13.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</row>
    <row r="130" spans="1:21" ht="13.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</row>
    <row r="131" spans="1:21" ht="13.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</row>
    <row r="132" spans="1:21" ht="13.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</row>
    <row r="133" spans="1:21" ht="13.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</row>
    <row r="134" spans="1:21" ht="13.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</row>
    <row r="135" spans="1:21" ht="13.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</row>
    <row r="136" spans="1:21" ht="13.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</row>
    <row r="137" spans="1:21" ht="13.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</row>
    <row r="138" spans="1:21" ht="13.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</row>
    <row r="139" spans="1:21" ht="13.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</row>
    <row r="140" spans="1:21" ht="13.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</row>
    <row r="141" spans="1:21" ht="13.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</row>
    <row r="142" spans="1:21" ht="13.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</row>
    <row r="143" spans="1:21" ht="13.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</row>
    <row r="144" spans="1:21" ht="13.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</row>
    <row r="145" spans="1:21" ht="13.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</row>
    <row r="146" spans="1:21" ht="13.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</row>
    <row r="147" spans="1:21" ht="13.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</row>
    <row r="148" spans="1:21" ht="13.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</row>
    <row r="149" spans="1:21" ht="13.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</row>
    <row r="150" spans="1:21" ht="13.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</row>
    <row r="151" spans="1:21" ht="13.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</row>
    <row r="152" spans="1:21" ht="13.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</row>
    <row r="153" spans="1:21" ht="13.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</row>
    <row r="154" spans="1:21" ht="13.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</row>
    <row r="155" spans="1:21" ht="13.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</row>
    <row r="156" spans="1:21" ht="13.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</row>
    <row r="157" spans="1:21" ht="13.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</row>
    <row r="158" spans="1:21" ht="13.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</row>
    <row r="159" spans="1:21" ht="13.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</row>
    <row r="160" spans="1:21" ht="13.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</row>
    <row r="161" spans="1:21" ht="13.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</row>
    <row r="162" spans="1:21" ht="13.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</row>
    <row r="163" spans="1:21" ht="13.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</row>
    <row r="164" spans="1:21" ht="13.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</row>
    <row r="165" spans="1:21" ht="13.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</row>
    <row r="166" spans="1:21" ht="13.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</row>
    <row r="167" spans="1:21" ht="13.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</row>
    <row r="168" spans="1:21" ht="13.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</row>
    <row r="169" spans="1:21" ht="13.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</row>
    <row r="170" spans="1:21" ht="13.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</row>
    <row r="171" spans="1:21" ht="13.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</row>
    <row r="172" spans="1:21" ht="13.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</row>
    <row r="173" spans="1:21" ht="13.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</row>
    <row r="174" spans="1:21" ht="13.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</row>
    <row r="175" spans="1:21" ht="13.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</row>
    <row r="176" spans="1:21" ht="13.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</row>
    <row r="177" spans="1:21" ht="13.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</row>
    <row r="178" spans="1:21" ht="13.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</row>
    <row r="179" spans="1:21" ht="13.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</row>
    <row r="180" spans="1:21" ht="13.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</row>
    <row r="181" spans="1:21" ht="13.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</row>
    <row r="182" spans="1:21" ht="13.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</row>
    <row r="183" spans="1:21" ht="13.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</row>
    <row r="184" spans="1:21" ht="13.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</row>
    <row r="185" spans="1:21" ht="13.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</row>
    <row r="186" spans="1:21" ht="13.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</row>
    <row r="187" spans="1:21" ht="13.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</row>
    <row r="188" spans="1:21" ht="13.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</row>
    <row r="189" spans="1:21" ht="13.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</row>
    <row r="190" spans="1:21" ht="13.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</row>
    <row r="191" spans="1:21" ht="13.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</row>
    <row r="192" spans="1:21" ht="13.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</row>
    <row r="193" spans="1:21" ht="13.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</row>
    <row r="194" spans="1:21" ht="13.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</row>
    <row r="195" spans="1:21" ht="13.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</row>
    <row r="196" spans="1:21" ht="13.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</row>
    <row r="197" spans="1:21" ht="13.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</row>
    <row r="198" spans="1:21" ht="13.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</row>
    <row r="199" spans="1:21" ht="13.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</row>
    <row r="200" spans="1:21" ht="13.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</row>
    <row r="201" spans="1:21" ht="13.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</row>
    <row r="202" spans="1:21" ht="13.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</row>
    <row r="203" spans="1:21" ht="13.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</row>
    <row r="204" spans="1:21" ht="13.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</row>
    <row r="205" spans="1:21" ht="13.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</row>
    <row r="206" spans="1:21" ht="13.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</row>
    <row r="207" spans="1:21" ht="13.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</row>
    <row r="208" spans="1:21" ht="13.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</row>
    <row r="209" spans="1:21" ht="13.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</row>
    <row r="210" spans="1:21" ht="13.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</row>
    <row r="211" spans="1:21" ht="13.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</row>
    <row r="212" spans="1:21" ht="13.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</row>
    <row r="213" spans="1:21" ht="13.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</row>
    <row r="214" spans="1:21" ht="13.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</row>
    <row r="215" spans="1:21" ht="13.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</row>
    <row r="216" spans="1:21" ht="13.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</row>
    <row r="217" spans="1:21" ht="13.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</row>
    <row r="218" spans="1:21" ht="13.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</row>
    <row r="219" spans="1:21" ht="13.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</row>
    <row r="220" spans="1:21" ht="13.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</row>
    <row r="221" spans="1:21" ht="15.7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</row>
    <row r="222" spans="1:21" ht="15.7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</row>
    <row r="223" spans="1:21" ht="15.7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</row>
    <row r="224" spans="1:21" ht="15.7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000000000000011" right="0.75000000000000011" top="1" bottom="1" header="0" footer="0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8D08D"/>
  </sheetPr>
  <dimension ref="A1:Y1000"/>
  <sheetViews>
    <sheetView showGridLines="0" workbookViewId="0">
      <selection activeCell="D32" sqref="D32"/>
    </sheetView>
  </sheetViews>
  <sheetFormatPr defaultColWidth="14.42578125" defaultRowHeight="15" customHeight="1"/>
  <cols>
    <col min="1" max="1" width="3.28515625" customWidth="1"/>
    <col min="2" max="2" width="1.28515625" customWidth="1"/>
    <col min="3" max="3" width="4.42578125" customWidth="1"/>
    <col min="4" max="4" width="35.28515625" customWidth="1"/>
    <col min="5" max="5" width="17.5703125" customWidth="1"/>
    <col min="6" max="6" width="15.85546875" customWidth="1"/>
    <col min="7" max="11" width="19.140625" customWidth="1"/>
    <col min="12" max="25" width="16.42578125" customWidth="1"/>
  </cols>
  <sheetData>
    <row r="1" spans="1:25" ht="30" customHeight="1">
      <c r="A1" s="308"/>
      <c r="B1" s="309"/>
      <c r="C1" s="188" t="s">
        <v>327</v>
      </c>
      <c r="D1" s="66"/>
      <c r="E1" s="189"/>
      <c r="F1" s="189"/>
      <c r="G1" s="189"/>
      <c r="H1" s="189"/>
      <c r="I1" s="189"/>
      <c r="J1" s="189"/>
      <c r="K1" s="189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spans="1:25" ht="17.25" customHeight="1">
      <c r="A2" s="227"/>
      <c r="B2" s="309"/>
      <c r="C2" s="190"/>
      <c r="D2" s="190"/>
      <c r="E2" s="190"/>
      <c r="F2" s="190"/>
      <c r="G2" s="191">
        <f>CEP!D6</f>
        <v>2025</v>
      </c>
      <c r="H2" s="191">
        <f>CEP!E6</f>
        <v>2026</v>
      </c>
      <c r="I2" s="191">
        <f>CEP!F6</f>
        <v>2027</v>
      </c>
      <c r="J2" s="191">
        <f>CEP!G6</f>
        <v>2028</v>
      </c>
      <c r="K2" s="191">
        <f>CEP!H6</f>
        <v>2029</v>
      </c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5" ht="17.25" customHeight="1">
      <c r="A3" s="219"/>
      <c r="B3" s="309"/>
      <c r="C3" s="154"/>
      <c r="D3" s="66"/>
      <c r="E3" s="155"/>
      <c r="F3" s="156" t="s">
        <v>97</v>
      </c>
      <c r="G3" s="117" t="str">
        <f t="shared" ref="G3:K3" si="0">"Année"&amp;" "&amp;G2</f>
        <v>Année 2025</v>
      </c>
      <c r="H3" s="117" t="str">
        <f t="shared" si="0"/>
        <v>Année 2026</v>
      </c>
      <c r="I3" s="117" t="str">
        <f t="shared" si="0"/>
        <v>Année 2027</v>
      </c>
      <c r="J3" s="117" t="str">
        <f t="shared" si="0"/>
        <v>Année 2028</v>
      </c>
      <c r="K3" s="117" t="str">
        <f t="shared" si="0"/>
        <v>Année 2029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3.5" customHeight="1">
      <c r="A4" s="227"/>
      <c r="B4" s="309"/>
      <c r="C4" s="193"/>
      <c r="D4" s="193"/>
      <c r="E4" s="193"/>
      <c r="F4" s="193"/>
      <c r="G4" s="194"/>
      <c r="H4" s="194"/>
      <c r="I4" s="194"/>
      <c r="J4" s="194"/>
      <c r="K4" s="194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ht="15.75" customHeight="1">
      <c r="A5" s="227"/>
      <c r="B5" s="309"/>
      <c r="C5" s="193"/>
      <c r="D5" s="195"/>
      <c r="E5" s="13"/>
      <c r="F5" s="196"/>
      <c r="G5" s="197"/>
      <c r="H5" s="197"/>
      <c r="I5" s="197"/>
      <c r="J5" s="197"/>
      <c r="K5" s="197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5" ht="15.75" customHeight="1">
      <c r="A6" s="227"/>
      <c r="B6" s="309"/>
      <c r="C6" s="193"/>
      <c r="D6" s="195" t="s">
        <v>328</v>
      </c>
      <c r="E6" s="13"/>
      <c r="F6" s="196" t="s">
        <v>156</v>
      </c>
      <c r="G6" s="198">
        <f>IF(CEP!D12&gt;0,CEP!D12,0)</f>
        <v>24235400</v>
      </c>
      <c r="H6" s="198">
        <f>IF(CEP!E12&gt;0,CEP!E12,0)</f>
        <v>468033570</v>
      </c>
      <c r="I6" s="198">
        <f>IF(CEP!F12&gt;0,CEP!F12,0)</f>
        <v>488505235.10000002</v>
      </c>
      <c r="J6" s="198">
        <f>IF(CEP!G12&gt;0,CEP!G12,0)</f>
        <v>510388036.65300012</v>
      </c>
      <c r="K6" s="198">
        <f>IF(CEP!H12&gt;0,CEP!H12,0)</f>
        <v>533831877.56758988</v>
      </c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spans="1:25" ht="15.75" customHeight="1">
      <c r="A7" s="227"/>
      <c r="B7" s="309"/>
      <c r="C7" s="193"/>
      <c r="D7" s="195" t="s">
        <v>329</v>
      </c>
      <c r="E7" s="13"/>
      <c r="F7" s="196" t="s">
        <v>156</v>
      </c>
      <c r="G7" s="310">
        <f>+-Cashflow!F34</f>
        <v>-4020378.0821917807</v>
      </c>
      <c r="H7" s="310">
        <f>+-Cashflow!G34</f>
        <v>-36535917.534246571</v>
      </c>
      <c r="I7" s="310">
        <f>+-Cashflow!H34</f>
        <v>-1743738.8958904147</v>
      </c>
      <c r="J7" s="310">
        <f>+-Cashflow!I34</f>
        <v>-1861556.8024931625</v>
      </c>
      <c r="K7" s="310">
        <f>+-Cashflow!J34</f>
        <v>-1991750.5187597126</v>
      </c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spans="1:25" ht="15.75" customHeight="1">
      <c r="A8" s="311"/>
      <c r="B8" s="309"/>
      <c r="C8" s="193"/>
      <c r="D8" s="195" t="s">
        <v>330</v>
      </c>
      <c r="E8" s="13"/>
      <c r="F8" s="196" t="s">
        <v>156</v>
      </c>
      <c r="G8" s="310">
        <f>-(Amort_Immobilisation!G12+Amort_Immobilisation!G21+Amort_Immobilisation!G30)</f>
        <v>-37300000</v>
      </c>
      <c r="H8" s="310">
        <v>0</v>
      </c>
      <c r="I8" s="310">
        <v>0</v>
      </c>
      <c r="J8" s="310">
        <v>0</v>
      </c>
      <c r="K8" s="310">
        <v>0</v>
      </c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spans="1:25" ht="15.75" customHeight="1">
      <c r="A9" s="385"/>
      <c r="B9" s="309"/>
      <c r="C9" s="193"/>
      <c r="D9" s="195" t="s">
        <v>331</v>
      </c>
      <c r="E9" s="13"/>
      <c r="F9" s="196" t="s">
        <v>156</v>
      </c>
      <c r="G9" s="310">
        <f>+IF(CEP!D12&lt;0,CEP!D12,0)</f>
        <v>0</v>
      </c>
      <c r="H9" s="310">
        <f>+IF(CEP!E12&lt;0,CEP!E12,0)</f>
        <v>0</v>
      </c>
      <c r="I9" s="310">
        <f>+IF(CEP!F12&lt;0,CEP!F12,0)</f>
        <v>0</v>
      </c>
      <c r="J9" s="310">
        <f>+IF(CEP!G12&lt;0,CEP!G12,0)</f>
        <v>0</v>
      </c>
      <c r="K9" s="310">
        <f>+IF(CEP!H12&lt;0,CEP!H12,0)</f>
        <v>0</v>
      </c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spans="1:25" ht="15.75" customHeight="1">
      <c r="A10" s="352"/>
      <c r="B10" s="312"/>
      <c r="C10" s="199"/>
      <c r="D10" s="13" t="s">
        <v>332</v>
      </c>
      <c r="E10" s="13"/>
      <c r="F10" s="196"/>
      <c r="G10" s="313">
        <f t="shared" ref="G10:K10" si="1">SUM(G6:G9)</f>
        <v>-17084978.08219178</v>
      </c>
      <c r="H10" s="313">
        <f t="shared" si="1"/>
        <v>431497652.46575344</v>
      </c>
      <c r="I10" s="313">
        <f t="shared" si="1"/>
        <v>486761496.20410961</v>
      </c>
      <c r="J10" s="313">
        <f t="shared" si="1"/>
        <v>508526479.85050696</v>
      </c>
      <c r="K10" s="313">
        <f t="shared" si="1"/>
        <v>531840127.04883015</v>
      </c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</row>
    <row r="11" spans="1:25" ht="15.75" customHeight="1">
      <c r="A11" s="352"/>
      <c r="B11" s="309"/>
      <c r="C11" s="193"/>
      <c r="D11" s="195" t="s">
        <v>274</v>
      </c>
      <c r="E11" s="13"/>
      <c r="F11" s="196"/>
      <c r="G11" s="310">
        <f>CEP!D16</f>
        <v>13856750.476314455</v>
      </c>
      <c r="H11" s="310">
        <f>CEP!E16</f>
        <v>457098351.27329552</v>
      </c>
      <c r="I11" s="310">
        <f>CEP!F16</f>
        <v>476896590.90378124</v>
      </c>
      <c r="J11" s="310">
        <f>CEP!G16</f>
        <v>497963803.85266739</v>
      </c>
      <c r="K11" s="310">
        <f>CEP!H16</f>
        <v>520501906.1635673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spans="1:25" ht="12.75" customHeight="1">
      <c r="A12" s="314"/>
      <c r="B12" s="315"/>
      <c r="C12" s="195"/>
      <c r="D12" s="195"/>
      <c r="E12" s="195"/>
      <c r="F12" s="201"/>
      <c r="G12" s="202"/>
      <c r="H12" s="203"/>
      <c r="I12" s="203"/>
      <c r="J12" s="204"/>
      <c r="K12" s="204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spans="1:25" ht="12.75" customHeight="1">
      <c r="A13" s="385"/>
      <c r="B13" s="315"/>
      <c r="C13" s="195"/>
      <c r="D13" s="316" t="s">
        <v>333</v>
      </c>
      <c r="E13" s="316"/>
      <c r="F13" s="317">
        <f>IRR(G10:K10)</f>
        <v>25.380423538867049</v>
      </c>
      <c r="G13" s="205"/>
      <c r="H13" s="203"/>
      <c r="I13" s="203"/>
      <c r="J13" s="204"/>
      <c r="K13" s="204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spans="1:25" ht="12.75" customHeight="1">
      <c r="A14" s="352"/>
      <c r="B14" s="315"/>
      <c r="C14" s="195"/>
      <c r="D14" s="13"/>
      <c r="E14" s="13"/>
      <c r="F14" s="206"/>
      <c r="G14" s="205"/>
      <c r="H14" s="203"/>
      <c r="I14" s="203"/>
      <c r="J14" s="204"/>
      <c r="K14" s="204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spans="1:25" ht="12.75" customHeight="1">
      <c r="A15" s="219"/>
      <c r="B15" s="315"/>
      <c r="C15" s="195"/>
      <c r="D15" s="195"/>
      <c r="E15" s="195"/>
      <c r="F15" s="201"/>
      <c r="G15" s="203"/>
      <c r="H15" s="203"/>
      <c r="I15" s="203"/>
      <c r="J15" s="204"/>
      <c r="K15" s="204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spans="1:25" ht="15.75" customHeight="1">
      <c r="A16" s="219"/>
      <c r="B16" s="309"/>
      <c r="C16" s="193"/>
      <c r="D16" s="195" t="s">
        <v>334</v>
      </c>
      <c r="E16" s="13"/>
      <c r="F16" s="196" t="s">
        <v>156</v>
      </c>
      <c r="G16" s="198">
        <f>-CEP!D17</f>
        <v>-4157025.1428943365</v>
      </c>
      <c r="H16" s="198">
        <f>-CEP!E17</f>
        <v>-137129505.38198864</v>
      </c>
      <c r="I16" s="198">
        <f>-CEP!F17</f>
        <v>-143068977.27113438</v>
      </c>
      <c r="J16" s="198">
        <f>-CEP!G17</f>
        <v>-149389141.15580022</v>
      </c>
      <c r="K16" s="198">
        <f>-CEP!H17</f>
        <v>-156150571.84907019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spans="1:25" ht="15.75" customHeight="1">
      <c r="A17" s="219"/>
      <c r="B17" s="309"/>
      <c r="C17" s="193"/>
      <c r="D17" s="195" t="s">
        <v>335</v>
      </c>
      <c r="E17" s="13"/>
      <c r="F17" s="196"/>
      <c r="G17" s="310">
        <f t="shared" ref="G17:K17" si="2">G10+G16</f>
        <v>-21242003.225086115</v>
      </c>
      <c r="H17" s="310">
        <f t="shared" si="2"/>
        <v>294368147.08376479</v>
      </c>
      <c r="I17" s="310">
        <f t="shared" si="2"/>
        <v>343692518.93297523</v>
      </c>
      <c r="J17" s="310">
        <f t="shared" si="2"/>
        <v>359137338.69470674</v>
      </c>
      <c r="K17" s="310">
        <f t="shared" si="2"/>
        <v>375689555.19975996</v>
      </c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spans="1:25" ht="13.5" customHeight="1">
      <c r="A18" s="219"/>
      <c r="B18" s="315"/>
      <c r="C18" s="195"/>
      <c r="D18" s="207"/>
      <c r="E18" s="195"/>
      <c r="F18" s="201"/>
      <c r="G18" s="204"/>
      <c r="H18" s="204"/>
      <c r="I18" s="204"/>
      <c r="J18" s="204"/>
      <c r="K18" s="204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spans="1:25" ht="12.75" customHeight="1">
      <c r="A19" s="219"/>
      <c r="B19" s="315"/>
      <c r="C19" s="195"/>
      <c r="D19" s="316" t="s">
        <v>336</v>
      </c>
      <c r="E19" s="316"/>
      <c r="F19" s="317">
        <f>IRR(G17:K17)</f>
        <v>14.015581452679866</v>
      </c>
      <c r="G19" s="205"/>
      <c r="H19" s="203"/>
      <c r="I19" s="203"/>
      <c r="J19" s="204"/>
      <c r="K19" s="204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spans="1:25" ht="12.75" customHeight="1">
      <c r="A20" s="219"/>
      <c r="B20" s="315"/>
      <c r="C20" s="195"/>
      <c r="D20" s="195"/>
      <c r="E20" s="195"/>
      <c r="F20" s="195"/>
      <c r="G20" s="203"/>
      <c r="H20" s="203"/>
      <c r="I20" s="203"/>
      <c r="J20" s="204"/>
      <c r="K20" s="204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spans="1:25" ht="13.5" customHeight="1">
      <c r="A21" s="219"/>
      <c r="B21" s="315"/>
      <c r="C21" s="43"/>
      <c r="D21" s="43"/>
      <c r="E21" s="43"/>
      <c r="F21" s="43"/>
      <c r="G21" s="208"/>
      <c r="H21" s="208"/>
      <c r="I21" s="208"/>
      <c r="J21" s="208"/>
      <c r="K21" s="208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spans="1:25" ht="13.5" customHeight="1">
      <c r="A22" s="219"/>
      <c r="B22" s="315"/>
      <c r="C22" s="43"/>
      <c r="D22" s="316" t="s">
        <v>337</v>
      </c>
      <c r="E22" s="316"/>
      <c r="F22" s="318">
        <f t="array" ref="F22">NPV(F51,G10,H10:K10)</f>
        <v>3513277117.0648384</v>
      </c>
      <c r="G22" s="208"/>
      <c r="H22" s="208"/>
      <c r="I22" s="208"/>
      <c r="J22" s="208"/>
      <c r="K22" s="208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spans="1:25" ht="13.5" customHeight="1">
      <c r="A23" s="219"/>
      <c r="B23" s="315"/>
      <c r="C23" s="43"/>
      <c r="D23" s="43"/>
      <c r="E23" s="43"/>
      <c r="F23" s="43"/>
      <c r="G23" s="208"/>
      <c r="H23" s="208"/>
      <c r="I23" s="208"/>
      <c r="J23" s="208"/>
      <c r="K23" s="208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spans="1:25" ht="13.5" customHeight="1">
      <c r="A24" s="219"/>
      <c r="B24" s="315"/>
      <c r="C24" s="43"/>
      <c r="D24" s="43"/>
      <c r="E24" s="43"/>
      <c r="F24" s="43"/>
      <c r="G24" s="208"/>
      <c r="H24" s="208"/>
      <c r="I24" s="208"/>
      <c r="J24" s="208"/>
      <c r="K24" s="208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1:25" ht="13.5" customHeight="1">
      <c r="A25" s="219"/>
      <c r="B25" s="315"/>
      <c r="C25" s="43"/>
      <c r="D25" s="316" t="s">
        <v>338</v>
      </c>
      <c r="E25" s="43"/>
      <c r="F25" s="43"/>
      <c r="G25" s="208"/>
      <c r="H25" s="208"/>
      <c r="I25" s="208"/>
      <c r="J25" s="208"/>
      <c r="K25" s="208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1:25" ht="15.75" customHeight="1">
      <c r="A26" s="219"/>
      <c r="B26" s="309"/>
      <c r="C26" s="193"/>
      <c r="D26" s="195" t="s">
        <v>339</v>
      </c>
      <c r="E26" s="13"/>
      <c r="F26" s="196"/>
      <c r="G26" s="310">
        <f>G10</f>
        <v>-17084978.08219178</v>
      </c>
      <c r="H26" s="310">
        <f t="shared" ref="H26:K26" si="3">G26+H10</f>
        <v>414412674.38356167</v>
      </c>
      <c r="I26" s="310">
        <f t="shared" si="3"/>
        <v>901174170.58767128</v>
      </c>
      <c r="J26" s="310">
        <f t="shared" si="3"/>
        <v>1409700650.4381783</v>
      </c>
      <c r="K26" s="310">
        <f t="shared" si="3"/>
        <v>1941540777.4870086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1:25" ht="13.5" customHeight="1">
      <c r="A27" s="219"/>
      <c r="B27" s="315"/>
      <c r="C27" s="43"/>
      <c r="D27" s="319" t="s">
        <v>340</v>
      </c>
      <c r="E27" s="320" t="s">
        <v>341</v>
      </c>
      <c r="F27" s="321">
        <f>MATCH(0,G26:K26,1)</f>
        <v>1</v>
      </c>
      <c r="G27" s="208"/>
      <c r="H27" s="208"/>
      <c r="I27" s="208"/>
      <c r="J27" s="208"/>
      <c r="K27" s="208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1:25" ht="13.5" customHeight="1">
      <c r="A28" s="219"/>
      <c r="B28" s="315"/>
      <c r="C28" s="43"/>
      <c r="D28" s="43"/>
      <c r="E28" s="43"/>
      <c r="F28" s="43"/>
      <c r="G28" s="208"/>
      <c r="H28" s="208"/>
      <c r="I28" s="208"/>
      <c r="J28" s="208"/>
      <c r="K28" s="208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spans="1:25" ht="13.5" customHeight="1">
      <c r="A29" s="219"/>
      <c r="B29" s="315"/>
      <c r="C29" s="43"/>
      <c r="D29" s="319" t="s">
        <v>342</v>
      </c>
      <c r="E29" s="320"/>
      <c r="F29" s="322">
        <f>F22/-G17+1</f>
        <v>166.392928333415</v>
      </c>
      <c r="G29" s="208"/>
      <c r="H29" s="208"/>
      <c r="I29" s="208"/>
      <c r="J29" s="208"/>
      <c r="K29" s="208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spans="1:25" ht="13.5" customHeight="1">
      <c r="A30" s="219"/>
      <c r="B30" s="315"/>
      <c r="C30" s="43"/>
      <c r="D30" s="43"/>
      <c r="E30" s="43"/>
      <c r="F30" s="43"/>
      <c r="G30" s="208"/>
      <c r="H30" s="208"/>
      <c r="I30" s="208"/>
      <c r="J30" s="208"/>
      <c r="K30" s="208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spans="1:25" ht="13.5" customHeight="1">
      <c r="A31" s="219"/>
      <c r="B31" s="315"/>
      <c r="C31" s="43"/>
      <c r="D31" s="43"/>
      <c r="E31" s="43"/>
      <c r="F31" s="43"/>
      <c r="G31" s="208"/>
      <c r="H31" s="208"/>
      <c r="I31" s="208"/>
      <c r="J31" s="208"/>
      <c r="K31" s="208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spans="1:25" ht="13.5" customHeight="1">
      <c r="A32" s="219"/>
      <c r="B32" s="315"/>
      <c r="C32" s="43"/>
      <c r="D32" s="209" t="s">
        <v>343</v>
      </c>
      <c r="E32" s="210"/>
      <c r="F32" s="210"/>
      <c r="G32" s="211"/>
      <c r="H32" s="211"/>
      <c r="I32" s="211"/>
      <c r="J32" s="211"/>
      <c r="K32" s="211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spans="1:25" ht="13.5" customHeight="1">
      <c r="A33" s="385"/>
      <c r="B33" s="315"/>
      <c r="C33" s="43"/>
      <c r="D33" s="323" t="s">
        <v>344</v>
      </c>
      <c r="E33" s="324"/>
      <c r="F33" s="324"/>
      <c r="G33" s="212">
        <f t="shared" ref="G33:K33" si="4">G6+G7</f>
        <v>20215021.91780822</v>
      </c>
      <c r="H33" s="212">
        <f t="shared" si="4"/>
        <v>431497652.46575344</v>
      </c>
      <c r="I33" s="212">
        <f t="shared" si="4"/>
        <v>486761496.20410961</v>
      </c>
      <c r="J33" s="212">
        <f t="shared" si="4"/>
        <v>508526479.85050696</v>
      </c>
      <c r="K33" s="212">
        <f t="shared" si="4"/>
        <v>531840127.04883015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spans="1:25" ht="13.5" customHeight="1">
      <c r="A34" s="352"/>
      <c r="B34" s="315"/>
      <c r="C34" s="43"/>
      <c r="D34" s="195" t="s">
        <v>345</v>
      </c>
      <c r="E34" s="43"/>
      <c r="F34" s="43"/>
      <c r="G34" s="310">
        <f>'TA _Invest'!J18+'TA _Exploitation'!J18</f>
        <v>3810135.0004814211</v>
      </c>
      <c r="H34" s="310">
        <f>'TA _Invest'!K18+'TA _Exploitation'!K18</f>
        <v>3044076.2845627083</v>
      </c>
      <c r="I34" s="310">
        <f>'TA _Invest'!L18+'TA _Exploitation'!L18</f>
        <v>2248678.9205341553</v>
      </c>
      <c r="J34" s="310">
        <f>'TA _Invest'!M18+'TA _Exploitation'!M18</f>
        <v>1433090.3164202468</v>
      </c>
      <c r="K34" s="310">
        <f>'TA _Invest'!N18+'TA _Exploitation'!N18</f>
        <v>527351.7127303523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spans="1:25" ht="13.5" customHeight="1">
      <c r="A35" s="352"/>
      <c r="B35" s="315"/>
      <c r="C35" s="43"/>
      <c r="D35" s="195" t="s">
        <v>346</v>
      </c>
      <c r="E35" s="43"/>
      <c r="F35" s="43"/>
      <c r="G35" s="310">
        <f>'TA _Invest'!J17+'TA _Exploitation'!J17</f>
        <v>6930546.4417535942</v>
      </c>
      <c r="H35" s="310">
        <f>'TA _Invest'!K17+'TA _Exploitation'!K17</f>
        <v>7696605.1576723084</v>
      </c>
      <c r="I35" s="310">
        <f>'TA _Invest'!L17+'TA _Exploitation'!L17</f>
        <v>7378644.1962187951</v>
      </c>
      <c r="J35" s="310">
        <f>'TA _Invest'!M17+'TA _Exploitation'!M17</f>
        <v>8194232.8003327046</v>
      </c>
      <c r="K35" s="310">
        <f>'TA _Invest'!N17+'TA _Exploitation'!N17</f>
        <v>9099971.4040225986</v>
      </c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spans="1:25" ht="13.5" customHeight="1">
      <c r="A36" s="352"/>
      <c r="B36" s="315"/>
      <c r="C36" s="62"/>
      <c r="D36" s="213" t="s">
        <v>347</v>
      </c>
      <c r="E36" s="214"/>
      <c r="F36" s="214"/>
      <c r="G36" s="310">
        <f t="shared" ref="G36:K36" si="5">SUM(G34:G35)</f>
        <v>10740681.442235015</v>
      </c>
      <c r="H36" s="310">
        <f t="shared" si="5"/>
        <v>10740681.442235017</v>
      </c>
      <c r="I36" s="310">
        <f t="shared" si="5"/>
        <v>9627323.1167529505</v>
      </c>
      <c r="J36" s="310">
        <f t="shared" si="5"/>
        <v>9627323.1167529523</v>
      </c>
      <c r="K36" s="310">
        <f t="shared" si="5"/>
        <v>9627323.1167529505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spans="1:25" ht="13.5" customHeight="1">
      <c r="A37" s="352"/>
      <c r="B37" s="315"/>
      <c r="C37" s="43"/>
      <c r="D37" s="43"/>
      <c r="E37" s="43"/>
      <c r="F37" s="43"/>
      <c r="G37" s="208"/>
      <c r="H37" s="208"/>
      <c r="I37" s="208"/>
      <c r="J37" s="208"/>
      <c r="K37" s="208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spans="1:25" ht="13.5" customHeight="1">
      <c r="A38" s="352"/>
      <c r="B38" s="325"/>
      <c r="C38" s="215"/>
      <c r="D38" s="215"/>
      <c r="E38" s="215"/>
      <c r="F38" s="215"/>
      <c r="G38" s="216">
        <f t="shared" ref="G38:K38" si="6">IF((G36&gt;0),G33/G36," ")</f>
        <v>1.8820986383897167</v>
      </c>
      <c r="H38" s="216">
        <f t="shared" si="6"/>
        <v>40.174141164730749</v>
      </c>
      <c r="I38" s="216">
        <f t="shared" si="6"/>
        <v>50.56041957884154</v>
      </c>
      <c r="J38" s="216">
        <f t="shared" si="6"/>
        <v>52.821170919837144</v>
      </c>
      <c r="K38" s="216">
        <f t="shared" si="6"/>
        <v>55.242783544197302</v>
      </c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spans="1:25" ht="13.5" customHeight="1">
      <c r="A39" s="352"/>
      <c r="B39" s="315"/>
      <c r="C39" s="43"/>
      <c r="D39" s="316" t="s">
        <v>348</v>
      </c>
      <c r="E39" s="326"/>
      <c r="F39" s="326">
        <f>AVERAGE(H38:K38)</f>
        <v>49.699628801901682</v>
      </c>
      <c r="G39" s="208"/>
      <c r="H39" s="208"/>
      <c r="I39" s="208"/>
      <c r="J39" s="208"/>
      <c r="K39" s="208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spans="1:25" ht="13.5" customHeight="1">
      <c r="A40" s="352"/>
      <c r="B40" s="315"/>
      <c r="C40" s="43"/>
      <c r="D40" s="43"/>
      <c r="E40" s="43"/>
      <c r="F40" s="43"/>
      <c r="G40" s="208"/>
      <c r="H40" s="208"/>
      <c r="I40" s="208"/>
      <c r="J40" s="208"/>
      <c r="K40" s="208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spans="1:25" ht="13.5" customHeight="1">
      <c r="A41" s="352"/>
      <c r="B41" s="315"/>
      <c r="C41" s="43"/>
      <c r="D41" s="316" t="s">
        <v>349</v>
      </c>
      <c r="E41" s="326"/>
      <c r="F41" s="326">
        <f>MIN(H38:K38)</f>
        <v>40.174141164730749</v>
      </c>
      <c r="G41" s="208"/>
      <c r="H41" s="208"/>
      <c r="I41" s="208"/>
      <c r="J41" s="208"/>
      <c r="K41" s="208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spans="1:25" ht="13.5" customHeight="1">
      <c r="A42" s="352"/>
      <c r="B42" s="315"/>
      <c r="C42" s="43"/>
      <c r="D42" s="43"/>
      <c r="E42" s="43"/>
      <c r="F42" s="43"/>
      <c r="G42" s="208"/>
      <c r="H42" s="208"/>
      <c r="I42" s="208"/>
      <c r="J42" s="208"/>
      <c r="K42" s="208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spans="1:25" ht="13.5" customHeight="1">
      <c r="A43" s="352"/>
      <c r="B43" s="315"/>
      <c r="C43" s="43"/>
      <c r="D43" s="43"/>
      <c r="E43" s="43"/>
      <c r="F43" s="43"/>
      <c r="G43" s="208"/>
      <c r="H43" s="208"/>
      <c r="I43" s="208"/>
      <c r="J43" s="208"/>
      <c r="K43" s="208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spans="1:25" ht="13.5" customHeight="1">
      <c r="A44" s="352"/>
      <c r="B44" s="315"/>
      <c r="C44" s="43"/>
      <c r="D44" s="209" t="s">
        <v>350</v>
      </c>
      <c r="E44" s="193"/>
      <c r="F44" s="210"/>
      <c r="G44" s="211"/>
      <c r="H44" s="211"/>
      <c r="I44" s="211"/>
      <c r="J44" s="211"/>
      <c r="K44" s="211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spans="1:25" ht="13.5" customHeight="1">
      <c r="A45" s="352"/>
      <c r="B45" s="315"/>
      <c r="C45" s="43"/>
      <c r="D45" s="323" t="s">
        <v>351</v>
      </c>
      <c r="E45" s="327"/>
      <c r="F45" s="324"/>
      <c r="G45" s="217">
        <f>'TA _Invest'!B2+'TA _Exploitation'!B2</f>
        <v>39300000</v>
      </c>
      <c r="H45" s="217">
        <v>0</v>
      </c>
      <c r="I45" s="217">
        <v>0</v>
      </c>
      <c r="J45" s="217">
        <v>0</v>
      </c>
      <c r="K45" s="217">
        <v>0</v>
      </c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spans="1:25" ht="13.5" customHeight="1">
      <c r="A46" s="352"/>
      <c r="B46" s="315"/>
      <c r="C46" s="43"/>
      <c r="D46" s="195" t="str">
        <f t="shared" ref="D46:D47" si="7">" - "&amp;D34</f>
        <v xml:space="preserve"> - Intérêts</v>
      </c>
      <c r="E46" s="13"/>
      <c r="F46" s="43"/>
      <c r="G46" s="328">
        <f>-('TA _Invest'!J18)-('TA _Exploitation'!J18)</f>
        <v>-3810135.0004814211</v>
      </c>
      <c r="H46" s="328">
        <f>-('TA _Invest'!K18)-('TA _Exploitation'!K18)</f>
        <v>-3044076.2845627083</v>
      </c>
      <c r="I46" s="328">
        <f>-('TA _Invest'!L18)-('TA _Exploitation'!L18)</f>
        <v>-2248678.9205341553</v>
      </c>
      <c r="J46" s="328">
        <f>-('TA _Invest'!M18)-('TA _Exploitation'!M18)</f>
        <v>-1433090.3164202468</v>
      </c>
      <c r="K46" s="328">
        <f>-('TA _Invest'!N18)-('TA _Exploitation'!N18)</f>
        <v>-527351.7127303523</v>
      </c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spans="1:25" ht="13.5" customHeight="1">
      <c r="A47" s="352"/>
      <c r="B47" s="315"/>
      <c r="C47" s="43"/>
      <c r="D47" s="195" t="str">
        <f t="shared" si="7"/>
        <v xml:space="preserve"> - Amortissement du principal</v>
      </c>
      <c r="E47" s="13"/>
      <c r="F47" s="43"/>
      <c r="G47" s="328">
        <f>-('TA _Invest'!J17)-('TA _Exploitation'!J17)</f>
        <v>-6930546.4417535942</v>
      </c>
      <c r="H47" s="328">
        <f>-('TA _Invest'!K17)-('TA _Exploitation'!K17)</f>
        <v>-7696605.1576723084</v>
      </c>
      <c r="I47" s="328">
        <f>-('TA _Invest'!L17)-('TA _Exploitation'!L17)</f>
        <v>-7378644.1962187951</v>
      </c>
      <c r="J47" s="328">
        <f>-('TA _Invest'!M17)-('TA _Exploitation'!M17)</f>
        <v>-8194232.8003327046</v>
      </c>
      <c r="K47" s="328">
        <f>-('TA _Invest'!N17)-('TA _Exploitation'!N17)</f>
        <v>-9099971.4040225986</v>
      </c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spans="1:25" ht="13.5" customHeight="1">
      <c r="A48" s="352"/>
      <c r="B48" s="315"/>
      <c r="C48" s="43"/>
      <c r="D48" s="218" t="s">
        <v>352</v>
      </c>
      <c r="E48" s="13"/>
      <c r="F48" s="43"/>
      <c r="G48" s="328">
        <f t="shared" ref="G48:K48" si="8">SUM(G45:G47)</f>
        <v>28559318.557764985</v>
      </c>
      <c r="H48" s="328">
        <f t="shared" si="8"/>
        <v>-10740681.442235017</v>
      </c>
      <c r="I48" s="328">
        <f t="shared" si="8"/>
        <v>-9627323.1167529505</v>
      </c>
      <c r="J48" s="328">
        <f t="shared" si="8"/>
        <v>-9627323.1167529523</v>
      </c>
      <c r="K48" s="328">
        <f t="shared" si="8"/>
        <v>-9627323.1167529505</v>
      </c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spans="1:25" ht="13.5" customHeight="1">
      <c r="A49" s="352"/>
      <c r="B49" s="315"/>
      <c r="C49" s="62"/>
      <c r="D49" s="62"/>
      <c r="E49" s="214"/>
      <c r="F49" s="214"/>
      <c r="G49" s="208"/>
      <c r="H49" s="208"/>
      <c r="I49" s="208"/>
      <c r="J49" s="208"/>
      <c r="K49" s="208"/>
      <c r="L49" s="208"/>
      <c r="M49" s="208"/>
      <c r="N49" s="208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spans="1:25" ht="13.5" customHeight="1">
      <c r="A50" s="352"/>
      <c r="B50" s="315"/>
      <c r="C50" s="43"/>
      <c r="D50" s="195"/>
      <c r="E50" s="13"/>
      <c r="F50" s="43"/>
      <c r="G50" s="208"/>
      <c r="H50" s="208"/>
      <c r="I50" s="208"/>
      <c r="J50" s="208"/>
      <c r="K50" s="208"/>
      <c r="L50" s="208"/>
      <c r="M50" s="208"/>
      <c r="N50" s="208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spans="1:25" ht="13.5" customHeight="1">
      <c r="A51" s="352"/>
      <c r="B51" s="315"/>
      <c r="C51" s="43"/>
      <c r="D51" s="316" t="s">
        <v>353</v>
      </c>
      <c r="E51" s="316"/>
      <c r="F51" s="317">
        <f>-(IRR(G48:K48))</f>
        <v>-0.14813866921548358</v>
      </c>
      <c r="G51" s="208"/>
      <c r="H51" s="208"/>
      <c r="I51" s="208"/>
      <c r="J51" s="208"/>
      <c r="K51" s="208"/>
      <c r="L51" s="208"/>
      <c r="M51" s="208"/>
      <c r="N51" s="208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spans="1:25" ht="13.5" customHeight="1">
      <c r="A52" s="352"/>
      <c r="B52" s="315"/>
      <c r="C52" s="43"/>
      <c r="D52" s="13"/>
      <c r="E52" s="13"/>
      <c r="F52" s="43"/>
      <c r="G52" s="208"/>
      <c r="H52" s="208"/>
      <c r="I52" s="208"/>
      <c r="J52" s="208"/>
      <c r="K52" s="208"/>
      <c r="L52" s="208"/>
      <c r="M52" s="208"/>
      <c r="N52" s="208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spans="1:25" ht="13.5" customHeight="1">
      <c r="A53" s="352"/>
      <c r="B53" s="315"/>
      <c r="C53" s="43"/>
      <c r="D53" s="316" t="s">
        <v>354</v>
      </c>
      <c r="E53" s="316"/>
      <c r="F53" s="326">
        <f t="array" ref="F53">NPV(F51,G33:K33)/NPV(F51,G36:K36)</f>
        <v>42.997432691637634</v>
      </c>
      <c r="G53" s="208"/>
      <c r="H53" s="208"/>
      <c r="I53" s="208"/>
      <c r="J53" s="208"/>
      <c r="K53" s="208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spans="1:25" ht="13.5" customHeight="1">
      <c r="A54" s="352"/>
      <c r="B54" s="315"/>
      <c r="C54" s="43"/>
      <c r="D54" s="13"/>
      <c r="E54" s="13"/>
      <c r="F54" s="43"/>
      <c r="G54" s="208"/>
      <c r="H54" s="208"/>
      <c r="I54" s="208"/>
      <c r="J54" s="208"/>
      <c r="K54" s="208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spans="1:25" ht="13.5" customHeight="1">
      <c r="A55" s="329"/>
      <c r="B55" s="330"/>
      <c r="C55" s="43"/>
      <c r="D55" s="43"/>
      <c r="E55" s="43"/>
      <c r="F55" s="43"/>
      <c r="G55" s="208"/>
      <c r="H55" s="208"/>
      <c r="I55" s="208"/>
      <c r="J55" s="208"/>
      <c r="K55" s="208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spans="1:25" ht="13.5" customHeight="1">
      <c r="A56" s="329"/>
      <c r="B56" s="330"/>
      <c r="C56" s="43"/>
      <c r="D56" s="43"/>
      <c r="E56" s="43"/>
      <c r="F56" s="43"/>
      <c r="G56" s="208"/>
      <c r="H56" s="208"/>
      <c r="I56" s="208"/>
      <c r="J56" s="208"/>
      <c r="K56" s="208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spans="1:25" ht="13.5" customHeight="1">
      <c r="A57" s="329"/>
      <c r="B57" s="330"/>
      <c r="C57" s="43"/>
      <c r="D57" s="43"/>
      <c r="E57" s="43"/>
      <c r="F57" s="43"/>
      <c r="G57" s="43"/>
      <c r="H57" s="43"/>
      <c r="I57" s="43"/>
      <c r="J57" s="43"/>
      <c r="K57" s="43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spans="1:25" ht="13.5" customHeight="1">
      <c r="A58" s="329"/>
      <c r="B58" s="330"/>
      <c r="C58" s="43"/>
      <c r="D58" s="43"/>
      <c r="E58" s="43"/>
      <c r="F58" s="43"/>
      <c r="G58" s="43"/>
      <c r="H58" s="43"/>
      <c r="I58" s="43"/>
      <c r="J58" s="43"/>
      <c r="K58" s="43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spans="1:25" ht="13.5" customHeight="1">
      <c r="A59" s="329"/>
      <c r="B59" s="330"/>
      <c r="C59" s="43"/>
      <c r="D59" s="43"/>
      <c r="E59" s="43"/>
      <c r="F59" s="43"/>
      <c r="G59" s="43"/>
      <c r="H59" s="43"/>
      <c r="I59" s="43"/>
      <c r="J59" s="43"/>
      <c r="K59" s="43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spans="1:25" ht="13.5" customHeight="1">
      <c r="A60" s="329"/>
      <c r="B60" s="330"/>
      <c r="C60" s="43"/>
      <c r="D60" s="43"/>
      <c r="E60" s="43"/>
      <c r="F60" s="43"/>
      <c r="G60" s="43"/>
      <c r="H60" s="43"/>
      <c r="I60" s="43"/>
      <c r="J60" s="43"/>
      <c r="K60" s="43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spans="1:25" ht="13.5" customHeight="1">
      <c r="A61" s="329"/>
      <c r="B61" s="330"/>
      <c r="C61" s="43"/>
      <c r="D61" s="43"/>
      <c r="E61" s="43"/>
      <c r="F61" s="43"/>
      <c r="G61" s="43"/>
      <c r="H61" s="43"/>
      <c r="I61" s="43"/>
      <c r="J61" s="43"/>
      <c r="K61" s="43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spans="1:25" ht="13.5" customHeight="1">
      <c r="A62" s="329"/>
      <c r="B62" s="330"/>
      <c r="C62" s="43"/>
      <c r="D62" s="43"/>
      <c r="E62" s="43"/>
      <c r="F62" s="43"/>
      <c r="G62" s="43"/>
      <c r="H62" s="43"/>
      <c r="I62" s="43"/>
      <c r="J62" s="43"/>
      <c r="K62" s="43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spans="1:25" ht="13.5" customHeight="1">
      <c r="A63" s="329"/>
      <c r="B63" s="330"/>
      <c r="C63" s="43"/>
      <c r="D63" s="43"/>
      <c r="E63" s="43"/>
      <c r="F63" s="43"/>
      <c r="G63" s="43"/>
      <c r="H63" s="43"/>
      <c r="I63" s="43"/>
      <c r="J63" s="43"/>
      <c r="K63" s="43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spans="1:25" ht="13.5" customHeight="1">
      <c r="A64" s="329"/>
      <c r="B64" s="330"/>
      <c r="C64" s="43"/>
      <c r="D64" s="43"/>
      <c r="E64" s="43"/>
      <c r="F64" s="43"/>
      <c r="G64" s="43"/>
      <c r="H64" s="43"/>
      <c r="I64" s="43"/>
      <c r="J64" s="43"/>
      <c r="K64" s="43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spans="1:25" ht="13.5" customHeight="1">
      <c r="A65" s="329"/>
      <c r="B65" s="330"/>
      <c r="C65" s="43"/>
      <c r="D65" s="43"/>
      <c r="E65" s="43"/>
      <c r="F65" s="43"/>
      <c r="G65" s="43"/>
      <c r="H65" s="43"/>
      <c r="I65" s="43"/>
      <c r="J65" s="43"/>
      <c r="K65" s="43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spans="1:25" ht="13.5" customHeight="1">
      <c r="A66" s="329"/>
      <c r="B66" s="330"/>
      <c r="C66" s="43"/>
      <c r="D66" s="43"/>
      <c r="E66" s="43"/>
      <c r="F66" s="43"/>
      <c r="G66" s="43"/>
      <c r="H66" s="43"/>
      <c r="I66" s="43"/>
      <c r="J66" s="43"/>
      <c r="K66" s="43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spans="1:25" ht="13.5" customHeight="1">
      <c r="A67" s="329"/>
      <c r="B67" s="330"/>
      <c r="C67" s="43"/>
      <c r="D67" s="43"/>
      <c r="E67" s="43"/>
      <c r="F67" s="43"/>
      <c r="G67" s="43"/>
      <c r="H67" s="43"/>
      <c r="I67" s="43"/>
      <c r="J67" s="43"/>
      <c r="K67" s="43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spans="1:25" ht="13.5" customHeight="1">
      <c r="A68" s="329"/>
      <c r="B68" s="330"/>
      <c r="C68" s="43"/>
      <c r="D68" s="43"/>
      <c r="E68" s="43"/>
      <c r="F68" s="43"/>
      <c r="G68" s="43"/>
      <c r="H68" s="43"/>
      <c r="I68" s="43"/>
      <c r="J68" s="43"/>
      <c r="K68" s="43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spans="1:25" ht="13.5" customHeight="1">
      <c r="A69" s="329"/>
      <c r="B69" s="330"/>
      <c r="C69" s="43"/>
      <c r="D69" s="43"/>
      <c r="E69" s="43"/>
      <c r="F69" s="43"/>
      <c r="G69" s="43"/>
      <c r="H69" s="43"/>
      <c r="I69" s="43"/>
      <c r="J69" s="43"/>
      <c r="K69" s="43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spans="1:25" ht="13.5" customHeight="1">
      <c r="A70" s="329"/>
      <c r="B70" s="330"/>
      <c r="C70" s="43"/>
      <c r="D70" s="43"/>
      <c r="E70" s="43"/>
      <c r="F70" s="43"/>
      <c r="G70" s="43"/>
      <c r="H70" s="43"/>
      <c r="I70" s="43"/>
      <c r="J70" s="43"/>
      <c r="K70" s="43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spans="1:25" ht="13.5" customHeight="1">
      <c r="A71" s="329"/>
      <c r="B71" s="330"/>
      <c r="C71" s="43"/>
      <c r="D71" s="43"/>
      <c r="E71" s="43"/>
      <c r="F71" s="43"/>
      <c r="G71" s="43"/>
      <c r="H71" s="43"/>
      <c r="I71" s="43"/>
      <c r="J71" s="43"/>
      <c r="K71" s="43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spans="1:25" ht="13.5" customHeight="1">
      <c r="A72" s="329"/>
      <c r="B72" s="330"/>
      <c r="C72" s="43"/>
      <c r="D72" s="43"/>
      <c r="E72" s="43"/>
      <c r="F72" s="43"/>
      <c r="G72" s="43"/>
      <c r="H72" s="43"/>
      <c r="I72" s="43"/>
      <c r="J72" s="43"/>
      <c r="K72" s="43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spans="1:25" ht="13.5" customHeight="1">
      <c r="A73" s="329"/>
      <c r="B73" s="330"/>
      <c r="C73" s="43"/>
      <c r="D73" s="43"/>
      <c r="E73" s="43"/>
      <c r="F73" s="43"/>
      <c r="G73" s="43"/>
      <c r="H73" s="43"/>
      <c r="I73" s="43"/>
      <c r="J73" s="43"/>
      <c r="K73" s="43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spans="1:25" ht="13.5" customHeight="1">
      <c r="A74" s="329"/>
      <c r="B74" s="330"/>
      <c r="C74" s="43"/>
      <c r="D74" s="43"/>
      <c r="E74" s="43"/>
      <c r="F74" s="43"/>
      <c r="G74" s="43"/>
      <c r="H74" s="43"/>
      <c r="I74" s="43"/>
      <c r="J74" s="43"/>
      <c r="K74" s="43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spans="1:25" ht="13.5" customHeight="1">
      <c r="A75" s="329"/>
      <c r="B75" s="330"/>
      <c r="C75" s="43"/>
      <c r="D75" s="43"/>
      <c r="E75" s="43"/>
      <c r="F75" s="43"/>
      <c r="G75" s="43"/>
      <c r="H75" s="43"/>
      <c r="I75" s="43"/>
      <c r="J75" s="43"/>
      <c r="K75" s="43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spans="1:25" ht="13.5" customHeight="1">
      <c r="A76" s="329"/>
      <c r="B76" s="330"/>
      <c r="C76" s="43"/>
      <c r="D76" s="43"/>
      <c r="E76" s="43"/>
      <c r="F76" s="43"/>
      <c r="G76" s="43"/>
      <c r="H76" s="43"/>
      <c r="I76" s="43"/>
      <c r="J76" s="43"/>
      <c r="K76" s="43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spans="1:25" ht="13.5" customHeight="1">
      <c r="A77" s="329"/>
      <c r="B77" s="330"/>
      <c r="C77" s="43"/>
      <c r="D77" s="43"/>
      <c r="E77" s="43"/>
      <c r="F77" s="43"/>
      <c r="G77" s="43"/>
      <c r="H77" s="43"/>
      <c r="I77" s="43"/>
      <c r="J77" s="43"/>
      <c r="K77" s="43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spans="1:25" ht="13.5" customHeight="1">
      <c r="A78" s="329"/>
      <c r="B78" s="330"/>
      <c r="C78" s="43"/>
      <c r="D78" s="43"/>
      <c r="E78" s="43"/>
      <c r="F78" s="43"/>
      <c r="G78" s="43"/>
      <c r="H78" s="43"/>
      <c r="I78" s="43"/>
      <c r="J78" s="43"/>
      <c r="K78" s="43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spans="1:25" ht="13.5" customHeight="1">
      <c r="A79" s="329"/>
      <c r="B79" s="330"/>
      <c r="C79" s="43"/>
      <c r="D79" s="43"/>
      <c r="E79" s="43"/>
      <c r="F79" s="43"/>
      <c r="G79" s="43"/>
      <c r="H79" s="43"/>
      <c r="I79" s="43"/>
      <c r="J79" s="43"/>
      <c r="K79" s="43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spans="1:25" ht="13.5" customHeight="1">
      <c r="A80" s="329"/>
      <c r="B80" s="330"/>
      <c r="C80" s="43"/>
      <c r="D80" s="43"/>
      <c r="E80" s="43"/>
      <c r="F80" s="43"/>
      <c r="G80" s="43"/>
      <c r="H80" s="43"/>
      <c r="I80" s="43"/>
      <c r="J80" s="43"/>
      <c r="K80" s="43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spans="1:25" ht="13.5" customHeight="1">
      <c r="A81" s="329"/>
      <c r="B81" s="330"/>
      <c r="C81" s="43"/>
      <c r="D81" s="43"/>
      <c r="E81" s="43"/>
      <c r="F81" s="43"/>
      <c r="G81" s="43"/>
      <c r="H81" s="43"/>
      <c r="I81" s="43"/>
      <c r="J81" s="43"/>
      <c r="K81" s="43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spans="1:25" ht="13.5" customHeight="1">
      <c r="A82" s="329"/>
      <c r="B82" s="330"/>
      <c r="C82" s="43"/>
      <c r="D82" s="43"/>
      <c r="E82" s="43"/>
      <c r="F82" s="43"/>
      <c r="G82" s="43"/>
      <c r="H82" s="43"/>
      <c r="I82" s="43"/>
      <c r="J82" s="43"/>
      <c r="K82" s="43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spans="1:25" ht="13.5" customHeight="1">
      <c r="A83" s="329"/>
      <c r="B83" s="330"/>
      <c r="C83" s="43"/>
      <c r="D83" s="43"/>
      <c r="E83" s="43"/>
      <c r="F83" s="43"/>
      <c r="G83" s="43"/>
      <c r="H83" s="43"/>
      <c r="I83" s="43"/>
      <c r="J83" s="43"/>
      <c r="K83" s="43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spans="1:25" ht="13.5" customHeight="1">
      <c r="A84" s="329"/>
      <c r="B84" s="330"/>
      <c r="C84" s="43"/>
      <c r="D84" s="43"/>
      <c r="E84" s="43"/>
      <c r="F84" s="43"/>
      <c r="G84" s="43"/>
      <c r="H84" s="43"/>
      <c r="I84" s="43"/>
      <c r="J84" s="43"/>
      <c r="K84" s="43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spans="1:25" ht="13.5" customHeight="1">
      <c r="A85" s="329"/>
      <c r="B85" s="330"/>
      <c r="C85" s="43"/>
      <c r="D85" s="43"/>
      <c r="E85" s="43"/>
      <c r="F85" s="43"/>
      <c r="G85" s="43"/>
      <c r="H85" s="43"/>
      <c r="I85" s="43"/>
      <c r="J85" s="43"/>
      <c r="K85" s="43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spans="1:25" ht="13.5" customHeight="1">
      <c r="A86" s="329"/>
      <c r="B86" s="330"/>
      <c r="C86" s="43"/>
      <c r="D86" s="43"/>
      <c r="E86" s="43"/>
      <c r="F86" s="43"/>
      <c r="G86" s="43"/>
      <c r="H86" s="43"/>
      <c r="I86" s="43"/>
      <c r="J86" s="43"/>
      <c r="K86" s="43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spans="1:25" ht="13.5" customHeight="1">
      <c r="A87" s="329"/>
      <c r="B87" s="330"/>
      <c r="C87" s="43"/>
      <c r="D87" s="43"/>
      <c r="E87" s="43"/>
      <c r="F87" s="43"/>
      <c r="G87" s="43"/>
      <c r="H87" s="43"/>
      <c r="I87" s="43"/>
      <c r="J87" s="43"/>
      <c r="K87" s="43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spans="1:25" ht="13.5" customHeight="1">
      <c r="A88" s="329"/>
      <c r="B88" s="330"/>
      <c r="C88" s="43"/>
      <c r="D88" s="43"/>
      <c r="E88" s="43"/>
      <c r="F88" s="43"/>
      <c r="G88" s="43"/>
      <c r="H88" s="43"/>
      <c r="I88" s="43"/>
      <c r="J88" s="43"/>
      <c r="K88" s="43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spans="1:25" ht="13.5" customHeight="1">
      <c r="A89" s="329"/>
      <c r="B89" s="330"/>
      <c r="C89" s="43"/>
      <c r="D89" s="43"/>
      <c r="E89" s="43"/>
      <c r="F89" s="43"/>
      <c r="G89" s="43"/>
      <c r="H89" s="43"/>
      <c r="I89" s="43"/>
      <c r="J89" s="43"/>
      <c r="K89" s="43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spans="1:25" ht="13.5" customHeight="1">
      <c r="A90" s="329"/>
      <c r="B90" s="330"/>
      <c r="C90" s="43"/>
      <c r="D90" s="43"/>
      <c r="E90" s="43"/>
      <c r="F90" s="43"/>
      <c r="G90" s="43"/>
      <c r="H90" s="43"/>
      <c r="I90" s="43"/>
      <c r="J90" s="43"/>
      <c r="K90" s="43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spans="1:25" ht="13.5" customHeight="1">
      <c r="A91" s="329"/>
      <c r="B91" s="330"/>
      <c r="C91" s="43"/>
      <c r="D91" s="43"/>
      <c r="E91" s="43"/>
      <c r="F91" s="43"/>
      <c r="G91" s="43"/>
      <c r="H91" s="43"/>
      <c r="I91" s="43"/>
      <c r="J91" s="43"/>
      <c r="K91" s="43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spans="1:25" ht="13.5" customHeight="1">
      <c r="A92" s="329"/>
      <c r="B92" s="330"/>
      <c r="C92" s="43"/>
      <c r="D92" s="43"/>
      <c r="E92" s="43"/>
      <c r="F92" s="43"/>
      <c r="G92" s="43"/>
      <c r="H92" s="43"/>
      <c r="I92" s="43"/>
      <c r="J92" s="43"/>
      <c r="K92" s="43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spans="1:25" ht="13.5" customHeight="1">
      <c r="A93" s="329"/>
      <c r="B93" s="330"/>
      <c r="C93" s="43"/>
      <c r="D93" s="43"/>
      <c r="E93" s="43"/>
      <c r="F93" s="43"/>
      <c r="G93" s="43"/>
      <c r="H93" s="43"/>
      <c r="I93" s="43"/>
      <c r="J93" s="43"/>
      <c r="K93" s="43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spans="1:25" ht="13.5" customHeight="1">
      <c r="A94" s="329"/>
      <c r="B94" s="330"/>
      <c r="C94" s="43"/>
      <c r="D94" s="43"/>
      <c r="E94" s="43"/>
      <c r="F94" s="43"/>
      <c r="G94" s="43"/>
      <c r="H94" s="43"/>
      <c r="I94" s="43"/>
      <c r="J94" s="43"/>
      <c r="K94" s="43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spans="1:25" ht="13.5" customHeight="1">
      <c r="A95" s="329"/>
      <c r="B95" s="331"/>
      <c r="C95" s="43"/>
      <c r="D95" s="43"/>
      <c r="E95" s="43"/>
      <c r="F95" s="43"/>
      <c r="G95" s="43"/>
      <c r="H95" s="43"/>
      <c r="I95" s="43"/>
      <c r="J95" s="43"/>
      <c r="K95" s="43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spans="1:25" ht="13.5" customHeight="1">
      <c r="A96" s="329"/>
      <c r="B96" s="331"/>
      <c r="C96" s="43"/>
      <c r="D96" s="43"/>
      <c r="E96" s="43"/>
      <c r="F96" s="43"/>
      <c r="G96" s="43"/>
      <c r="H96" s="43"/>
      <c r="I96" s="43"/>
      <c r="J96" s="43"/>
      <c r="K96" s="43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spans="1:25" ht="13.5" customHeight="1">
      <c r="A97" s="329"/>
      <c r="B97" s="331"/>
      <c r="C97" s="43"/>
      <c r="D97" s="43"/>
      <c r="E97" s="43"/>
      <c r="F97" s="43"/>
      <c r="G97" s="43"/>
      <c r="H97" s="43"/>
      <c r="I97" s="43"/>
      <c r="J97" s="43"/>
      <c r="K97" s="43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spans="1:25" ht="13.5" customHeight="1">
      <c r="A98" s="329"/>
      <c r="B98" s="331"/>
      <c r="C98" s="43"/>
      <c r="D98" s="43"/>
      <c r="E98" s="43"/>
      <c r="F98" s="43"/>
      <c r="G98" s="43"/>
      <c r="H98" s="43"/>
      <c r="I98" s="43"/>
      <c r="J98" s="43"/>
      <c r="K98" s="43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spans="1:25" ht="13.5" customHeight="1">
      <c r="A99" s="329"/>
      <c r="B99" s="331"/>
      <c r="C99" s="43"/>
      <c r="D99" s="43"/>
      <c r="E99" s="43"/>
      <c r="F99" s="43"/>
      <c r="G99" s="43"/>
      <c r="H99" s="43"/>
      <c r="I99" s="43"/>
      <c r="J99" s="43"/>
      <c r="K99" s="43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spans="1:25" ht="13.5" customHeight="1">
      <c r="A100" s="329"/>
      <c r="B100" s="331"/>
      <c r="C100" s="43"/>
      <c r="D100" s="43"/>
      <c r="E100" s="43"/>
      <c r="F100" s="43"/>
      <c r="G100" s="43"/>
      <c r="H100" s="43"/>
      <c r="I100" s="43"/>
      <c r="J100" s="43"/>
      <c r="K100" s="43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spans="1:25" ht="13.5" customHeight="1">
      <c r="A101" s="329"/>
      <c r="B101" s="331"/>
      <c r="C101" s="43"/>
      <c r="D101" s="43"/>
      <c r="E101" s="43"/>
      <c r="F101" s="43"/>
      <c r="G101" s="43"/>
      <c r="H101" s="43"/>
      <c r="I101" s="43"/>
      <c r="J101" s="43"/>
      <c r="K101" s="43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spans="1:25" ht="13.5" customHeight="1">
      <c r="A102" s="329"/>
      <c r="B102" s="331"/>
      <c r="C102" s="43"/>
      <c r="D102" s="43"/>
      <c r="E102" s="43"/>
      <c r="F102" s="43"/>
      <c r="G102" s="43"/>
      <c r="H102" s="43"/>
      <c r="I102" s="43"/>
      <c r="J102" s="43"/>
      <c r="K102" s="43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spans="1:25" ht="13.5" customHeight="1">
      <c r="A103" s="329"/>
      <c r="B103" s="331"/>
      <c r="C103" s="43"/>
      <c r="D103" s="43"/>
      <c r="E103" s="43"/>
      <c r="F103" s="43"/>
      <c r="G103" s="43"/>
      <c r="H103" s="43"/>
      <c r="I103" s="43"/>
      <c r="J103" s="43"/>
      <c r="K103" s="43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spans="1:25" ht="13.5" customHeight="1">
      <c r="A104" s="329"/>
      <c r="B104" s="331"/>
      <c r="C104" s="43"/>
      <c r="D104" s="43"/>
      <c r="E104" s="43"/>
      <c r="F104" s="43"/>
      <c r="G104" s="43"/>
      <c r="H104" s="43"/>
      <c r="I104" s="43"/>
      <c r="J104" s="43"/>
      <c r="K104" s="43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spans="1:25" ht="13.5" customHeight="1">
      <c r="A105" s="329"/>
      <c r="B105" s="331"/>
      <c r="C105" s="43"/>
      <c r="D105" s="43"/>
      <c r="E105" s="43"/>
      <c r="F105" s="43"/>
      <c r="G105" s="43"/>
      <c r="H105" s="43"/>
      <c r="I105" s="43"/>
      <c r="J105" s="43"/>
      <c r="K105" s="43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spans="1:25" ht="13.5" customHeight="1">
      <c r="A106" s="329"/>
      <c r="B106" s="331"/>
      <c r="C106" s="43"/>
      <c r="D106" s="43"/>
      <c r="E106" s="43"/>
      <c r="F106" s="43"/>
      <c r="G106" s="43"/>
      <c r="H106" s="43"/>
      <c r="I106" s="43"/>
      <c r="J106" s="43"/>
      <c r="K106" s="43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spans="1:25" ht="13.5" customHeight="1">
      <c r="A107" s="329"/>
      <c r="B107" s="331"/>
      <c r="C107" s="43"/>
      <c r="D107" s="43"/>
      <c r="E107" s="43"/>
      <c r="F107" s="43"/>
      <c r="G107" s="43"/>
      <c r="H107" s="43"/>
      <c r="I107" s="43"/>
      <c r="J107" s="43"/>
      <c r="K107" s="43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spans="1:25" ht="13.5" customHeight="1">
      <c r="A108" s="329"/>
      <c r="B108" s="331"/>
      <c r="C108" s="43"/>
      <c r="D108" s="43"/>
      <c r="E108" s="43"/>
      <c r="F108" s="43"/>
      <c r="G108" s="43"/>
      <c r="H108" s="43"/>
      <c r="I108" s="43"/>
      <c r="J108" s="43"/>
      <c r="K108" s="43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spans="1:25" ht="13.5" customHeight="1">
      <c r="A109" s="329"/>
      <c r="B109" s="331"/>
      <c r="C109" s="43"/>
      <c r="D109" s="43"/>
      <c r="E109" s="43"/>
      <c r="F109" s="43"/>
      <c r="G109" s="43"/>
      <c r="H109" s="43"/>
      <c r="I109" s="43"/>
      <c r="J109" s="43"/>
      <c r="K109" s="43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spans="1:25" ht="13.5" customHeight="1">
      <c r="A110" s="329"/>
      <c r="B110" s="331"/>
      <c r="C110" s="43"/>
      <c r="D110" s="43"/>
      <c r="E110" s="43"/>
      <c r="F110" s="43"/>
      <c r="G110" s="43"/>
      <c r="H110" s="43"/>
      <c r="I110" s="43"/>
      <c r="J110" s="43"/>
      <c r="K110" s="43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spans="1:25" ht="13.5" customHeight="1">
      <c r="A111" s="329"/>
      <c r="B111" s="331"/>
      <c r="C111" s="43"/>
      <c r="D111" s="43"/>
      <c r="E111" s="43"/>
      <c r="F111" s="43"/>
      <c r="G111" s="43"/>
      <c r="H111" s="43"/>
      <c r="I111" s="43"/>
      <c r="J111" s="43"/>
      <c r="K111" s="43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spans="1:25" ht="13.5" customHeight="1">
      <c r="A112" s="329"/>
      <c r="B112" s="331"/>
      <c r="C112" s="43"/>
      <c r="D112" s="43"/>
      <c r="E112" s="43"/>
      <c r="F112" s="43"/>
      <c r="G112" s="43"/>
      <c r="H112" s="43"/>
      <c r="I112" s="43"/>
      <c r="J112" s="43"/>
      <c r="K112" s="43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spans="1:25" ht="13.5" customHeight="1">
      <c r="A113" s="329"/>
      <c r="B113" s="331"/>
      <c r="C113" s="43"/>
      <c r="D113" s="43"/>
      <c r="E113" s="43"/>
      <c r="F113" s="43"/>
      <c r="G113" s="43"/>
      <c r="H113" s="43"/>
      <c r="I113" s="43"/>
      <c r="J113" s="43"/>
      <c r="K113" s="43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spans="1:25" ht="13.5" customHeight="1">
      <c r="A114" s="329"/>
      <c r="B114" s="331"/>
      <c r="C114" s="43"/>
      <c r="D114" s="43"/>
      <c r="E114" s="43"/>
      <c r="F114" s="43"/>
      <c r="G114" s="43"/>
      <c r="H114" s="43"/>
      <c r="I114" s="43"/>
      <c r="J114" s="43"/>
      <c r="K114" s="43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spans="1:25" ht="13.5" customHeight="1">
      <c r="A115" s="329"/>
      <c r="B115" s="331"/>
      <c r="C115" s="43"/>
      <c r="D115" s="43"/>
      <c r="E115" s="43"/>
      <c r="F115" s="43"/>
      <c r="G115" s="43"/>
      <c r="H115" s="43"/>
      <c r="I115" s="43"/>
      <c r="J115" s="43"/>
      <c r="K115" s="43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spans="1:25" ht="13.5" customHeight="1">
      <c r="A116" s="329"/>
      <c r="B116" s="331"/>
      <c r="C116" s="43"/>
      <c r="D116" s="43"/>
      <c r="E116" s="43"/>
      <c r="F116" s="43"/>
      <c r="G116" s="43"/>
      <c r="H116" s="43"/>
      <c r="I116" s="43"/>
      <c r="J116" s="43"/>
      <c r="K116" s="43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spans="1:25" ht="13.5" customHeight="1">
      <c r="A117" s="329"/>
      <c r="B117" s="331"/>
      <c r="C117" s="43"/>
      <c r="D117" s="43"/>
      <c r="E117" s="43"/>
      <c r="F117" s="43"/>
      <c r="G117" s="43"/>
      <c r="H117" s="43"/>
      <c r="I117" s="43"/>
      <c r="J117" s="43"/>
      <c r="K117" s="43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spans="1:25" ht="13.5" customHeight="1">
      <c r="A118" s="329"/>
      <c r="B118" s="331"/>
      <c r="C118" s="43"/>
      <c r="D118" s="43"/>
      <c r="E118" s="43"/>
      <c r="F118" s="43"/>
      <c r="G118" s="43"/>
      <c r="H118" s="43"/>
      <c r="I118" s="43"/>
      <c r="J118" s="43"/>
      <c r="K118" s="43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spans="1:25" ht="13.5" customHeight="1">
      <c r="A119" s="329"/>
      <c r="B119" s="331"/>
      <c r="C119" s="43"/>
      <c r="D119" s="43"/>
      <c r="E119" s="43"/>
      <c r="F119" s="43"/>
      <c r="G119" s="43"/>
      <c r="H119" s="43"/>
      <c r="I119" s="43"/>
      <c r="J119" s="43"/>
      <c r="K119" s="43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spans="1:25" ht="13.5" customHeight="1">
      <c r="A120" s="329"/>
      <c r="B120" s="331"/>
      <c r="C120" s="43"/>
      <c r="D120" s="43"/>
      <c r="E120" s="43"/>
      <c r="F120" s="43"/>
      <c r="G120" s="43"/>
      <c r="H120" s="43"/>
      <c r="I120" s="43"/>
      <c r="J120" s="43"/>
      <c r="K120" s="43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spans="1:25" ht="13.5" customHeight="1">
      <c r="A121" s="329"/>
      <c r="B121" s="331"/>
      <c r="C121" s="43"/>
      <c r="D121" s="43"/>
      <c r="E121" s="43"/>
      <c r="F121" s="43"/>
      <c r="G121" s="43"/>
      <c r="H121" s="43"/>
      <c r="I121" s="43"/>
      <c r="J121" s="43"/>
      <c r="K121" s="43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spans="1:25" ht="13.5" customHeight="1">
      <c r="A122" s="329"/>
      <c r="B122" s="331"/>
      <c r="C122" s="43"/>
      <c r="D122" s="43"/>
      <c r="E122" s="43"/>
      <c r="F122" s="43"/>
      <c r="G122" s="43"/>
      <c r="H122" s="43"/>
      <c r="I122" s="43"/>
      <c r="J122" s="43"/>
      <c r="K122" s="43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spans="1:25" ht="13.5" customHeight="1">
      <c r="A123" s="329"/>
      <c r="B123" s="331"/>
      <c r="C123" s="43"/>
      <c r="D123" s="43"/>
      <c r="E123" s="43"/>
      <c r="F123" s="43"/>
      <c r="G123" s="43"/>
      <c r="H123" s="43"/>
      <c r="I123" s="43"/>
      <c r="J123" s="43"/>
      <c r="K123" s="43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spans="1:25" ht="13.5" customHeight="1">
      <c r="A124" s="329"/>
      <c r="B124" s="331"/>
      <c r="C124" s="43"/>
      <c r="D124" s="43"/>
      <c r="E124" s="43"/>
      <c r="F124" s="43"/>
      <c r="G124" s="43"/>
      <c r="H124" s="43"/>
      <c r="I124" s="43"/>
      <c r="J124" s="43"/>
      <c r="K124" s="43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spans="1:25" ht="13.5" customHeight="1">
      <c r="A125" s="329"/>
      <c r="B125" s="331"/>
      <c r="C125" s="43"/>
      <c r="D125" s="43"/>
      <c r="E125" s="43"/>
      <c r="F125" s="43"/>
      <c r="G125" s="43"/>
      <c r="H125" s="43"/>
      <c r="I125" s="43"/>
      <c r="J125" s="43"/>
      <c r="K125" s="43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spans="1:25" ht="13.5" customHeight="1">
      <c r="A126" s="329"/>
      <c r="B126" s="331"/>
      <c r="C126" s="43"/>
      <c r="D126" s="43"/>
      <c r="E126" s="43"/>
      <c r="F126" s="43"/>
      <c r="G126" s="43"/>
      <c r="H126" s="43"/>
      <c r="I126" s="43"/>
      <c r="J126" s="43"/>
      <c r="K126" s="43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spans="1:25" ht="13.5" customHeight="1">
      <c r="A127" s="329"/>
      <c r="B127" s="331"/>
      <c r="C127" s="43"/>
      <c r="D127" s="43"/>
      <c r="E127" s="43"/>
      <c r="F127" s="43"/>
      <c r="G127" s="43"/>
      <c r="H127" s="43"/>
      <c r="I127" s="43"/>
      <c r="J127" s="43"/>
      <c r="K127" s="43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spans="1:25" ht="13.5" customHeight="1">
      <c r="A128" s="329"/>
      <c r="B128" s="331"/>
      <c r="C128" s="43"/>
      <c r="D128" s="43"/>
      <c r="E128" s="43"/>
      <c r="F128" s="43"/>
      <c r="G128" s="43"/>
      <c r="H128" s="43"/>
      <c r="I128" s="43"/>
      <c r="J128" s="43"/>
      <c r="K128" s="43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spans="1:25" ht="13.5" customHeight="1">
      <c r="A129" s="329"/>
      <c r="B129" s="331"/>
      <c r="C129" s="43"/>
      <c r="D129" s="43"/>
      <c r="E129" s="43"/>
      <c r="F129" s="43"/>
      <c r="G129" s="43"/>
      <c r="H129" s="43"/>
      <c r="I129" s="43"/>
      <c r="J129" s="43"/>
      <c r="K129" s="43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spans="1:25" ht="13.5" customHeight="1">
      <c r="A130" s="329"/>
      <c r="B130" s="331"/>
      <c r="C130" s="43"/>
      <c r="D130" s="43"/>
      <c r="E130" s="43"/>
      <c r="F130" s="43"/>
      <c r="G130" s="43"/>
      <c r="H130" s="43"/>
      <c r="I130" s="43"/>
      <c r="J130" s="43"/>
      <c r="K130" s="43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spans="1:25" ht="13.5" customHeight="1">
      <c r="A131" s="329"/>
      <c r="B131" s="331"/>
      <c r="C131" s="43"/>
      <c r="D131" s="43"/>
      <c r="E131" s="43"/>
      <c r="F131" s="43"/>
      <c r="G131" s="43"/>
      <c r="H131" s="43"/>
      <c r="I131" s="43"/>
      <c r="J131" s="43"/>
      <c r="K131" s="43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spans="1:25" ht="13.5" customHeight="1">
      <c r="A132" s="329"/>
      <c r="B132" s="331"/>
      <c r="C132" s="43"/>
      <c r="D132" s="43"/>
      <c r="E132" s="43"/>
      <c r="F132" s="43"/>
      <c r="G132" s="43"/>
      <c r="H132" s="43"/>
      <c r="I132" s="43"/>
      <c r="J132" s="43"/>
      <c r="K132" s="43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spans="1:25" ht="13.5" customHeight="1">
      <c r="A133" s="329"/>
      <c r="B133" s="331"/>
      <c r="C133" s="43"/>
      <c r="D133" s="43"/>
      <c r="E133" s="43"/>
      <c r="F133" s="43"/>
      <c r="G133" s="43"/>
      <c r="H133" s="43"/>
      <c r="I133" s="43"/>
      <c r="J133" s="43"/>
      <c r="K133" s="43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spans="1:25" ht="13.5" customHeight="1">
      <c r="A134" s="329"/>
      <c r="B134" s="331"/>
      <c r="C134" s="43"/>
      <c r="D134" s="43"/>
      <c r="E134" s="43"/>
      <c r="F134" s="43"/>
      <c r="G134" s="43"/>
      <c r="H134" s="43"/>
      <c r="I134" s="43"/>
      <c r="J134" s="43"/>
      <c r="K134" s="43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spans="1:25" ht="13.5" customHeight="1">
      <c r="A135" s="329"/>
      <c r="B135" s="331"/>
      <c r="C135" s="43"/>
      <c r="D135" s="43"/>
      <c r="E135" s="43"/>
      <c r="F135" s="43"/>
      <c r="G135" s="43"/>
      <c r="H135" s="43"/>
      <c r="I135" s="43"/>
      <c r="J135" s="43"/>
      <c r="K135" s="43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spans="1:25" ht="13.5" customHeight="1">
      <c r="A136" s="329"/>
      <c r="B136" s="331"/>
      <c r="C136" s="43"/>
      <c r="D136" s="43"/>
      <c r="E136" s="43"/>
      <c r="F136" s="43"/>
      <c r="G136" s="43"/>
      <c r="H136" s="43"/>
      <c r="I136" s="43"/>
      <c r="J136" s="43"/>
      <c r="K136" s="43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spans="1:25" ht="13.5" customHeight="1">
      <c r="A137" s="329"/>
      <c r="B137" s="331"/>
      <c r="C137" s="43"/>
      <c r="D137" s="43"/>
      <c r="E137" s="43"/>
      <c r="F137" s="43"/>
      <c r="G137" s="43"/>
      <c r="H137" s="43"/>
      <c r="I137" s="43"/>
      <c r="J137" s="43"/>
      <c r="K137" s="43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spans="1:25" ht="13.5" customHeight="1">
      <c r="A138" s="329"/>
      <c r="B138" s="331"/>
      <c r="C138" s="43"/>
      <c r="D138" s="43"/>
      <c r="E138" s="43"/>
      <c r="F138" s="43"/>
      <c r="G138" s="43"/>
      <c r="H138" s="43"/>
      <c r="I138" s="43"/>
      <c r="J138" s="43"/>
      <c r="K138" s="43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spans="1:25" ht="13.5" customHeight="1">
      <c r="A139" s="329"/>
      <c r="B139" s="331"/>
      <c r="C139" s="43"/>
      <c r="D139" s="43"/>
      <c r="E139" s="43"/>
      <c r="F139" s="43"/>
      <c r="G139" s="43"/>
      <c r="H139" s="43"/>
      <c r="I139" s="43"/>
      <c r="J139" s="43"/>
      <c r="K139" s="43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spans="1:25" ht="13.5" customHeight="1">
      <c r="A140" s="329"/>
      <c r="B140" s="331"/>
      <c r="C140" s="43"/>
      <c r="D140" s="43"/>
      <c r="E140" s="43"/>
      <c r="F140" s="43"/>
      <c r="G140" s="43"/>
      <c r="H140" s="43"/>
      <c r="I140" s="43"/>
      <c r="J140" s="43"/>
      <c r="K140" s="43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spans="1:25" ht="13.5" customHeight="1">
      <c r="A141" s="329"/>
      <c r="B141" s="331"/>
      <c r="C141" s="43"/>
      <c r="D141" s="43"/>
      <c r="E141" s="43"/>
      <c r="F141" s="43"/>
      <c r="G141" s="43"/>
      <c r="H141" s="43"/>
      <c r="I141" s="43"/>
      <c r="J141" s="43"/>
      <c r="K141" s="43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spans="1:25" ht="13.5" customHeight="1">
      <c r="A142" s="329"/>
      <c r="B142" s="331"/>
      <c r="C142" s="43"/>
      <c r="D142" s="43"/>
      <c r="E142" s="43"/>
      <c r="F142" s="43"/>
      <c r="G142" s="43"/>
      <c r="H142" s="43"/>
      <c r="I142" s="43"/>
      <c r="J142" s="43"/>
      <c r="K142" s="43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spans="1:25" ht="13.5" customHeight="1">
      <c r="A143" s="329"/>
      <c r="B143" s="331"/>
      <c r="C143" s="43"/>
      <c r="D143" s="43"/>
      <c r="E143" s="43"/>
      <c r="F143" s="43"/>
      <c r="G143" s="43"/>
      <c r="H143" s="43"/>
      <c r="I143" s="43"/>
      <c r="J143" s="43"/>
      <c r="K143" s="43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spans="1:25" ht="13.5" customHeight="1">
      <c r="A144" s="329"/>
      <c r="B144" s="331"/>
      <c r="C144" s="43"/>
      <c r="D144" s="43"/>
      <c r="E144" s="43"/>
      <c r="F144" s="43"/>
      <c r="G144" s="43"/>
      <c r="H144" s="43"/>
      <c r="I144" s="43"/>
      <c r="J144" s="43"/>
      <c r="K144" s="43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spans="1:25" ht="13.5" customHeight="1">
      <c r="A145" s="329"/>
      <c r="B145" s="331"/>
      <c r="C145" s="43"/>
      <c r="D145" s="43"/>
      <c r="E145" s="43"/>
      <c r="F145" s="43"/>
      <c r="G145" s="43"/>
      <c r="H145" s="43"/>
      <c r="I145" s="43"/>
      <c r="J145" s="43"/>
      <c r="K145" s="43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spans="1:25" ht="13.5" customHeight="1">
      <c r="A146" s="329"/>
      <c r="B146" s="331"/>
      <c r="C146" s="43"/>
      <c r="D146" s="43"/>
      <c r="E146" s="43"/>
      <c r="F146" s="43"/>
      <c r="G146" s="43"/>
      <c r="H146" s="43"/>
      <c r="I146" s="43"/>
      <c r="J146" s="43"/>
      <c r="K146" s="43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spans="1:25" ht="13.5" customHeight="1">
      <c r="A147" s="329"/>
      <c r="B147" s="331"/>
      <c r="C147" s="43"/>
      <c r="D147" s="43"/>
      <c r="E147" s="43"/>
      <c r="F147" s="43"/>
      <c r="G147" s="43"/>
      <c r="H147" s="43"/>
      <c r="I147" s="43"/>
      <c r="J147" s="43"/>
      <c r="K147" s="43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spans="1:25" ht="13.5" customHeight="1">
      <c r="A148" s="329"/>
      <c r="B148" s="331"/>
      <c r="C148" s="43"/>
      <c r="D148" s="43"/>
      <c r="E148" s="43"/>
      <c r="F148" s="43"/>
      <c r="G148" s="43"/>
      <c r="H148" s="43"/>
      <c r="I148" s="43"/>
      <c r="J148" s="43"/>
      <c r="K148" s="43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spans="1:25" ht="13.5" customHeight="1">
      <c r="A149" s="329"/>
      <c r="B149" s="331"/>
      <c r="C149" s="43"/>
      <c r="D149" s="43"/>
      <c r="E149" s="43"/>
      <c r="F149" s="43"/>
      <c r="G149" s="43"/>
      <c r="H149" s="43"/>
      <c r="I149" s="43"/>
      <c r="J149" s="43"/>
      <c r="K149" s="43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spans="1:25" ht="13.5" customHeight="1">
      <c r="A150" s="329"/>
      <c r="B150" s="331"/>
      <c r="C150" s="43"/>
      <c r="D150" s="43"/>
      <c r="E150" s="43"/>
      <c r="F150" s="43"/>
      <c r="G150" s="43"/>
      <c r="H150" s="43"/>
      <c r="I150" s="43"/>
      <c r="J150" s="43"/>
      <c r="K150" s="43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spans="1:25" ht="13.5" customHeight="1">
      <c r="A151" s="329"/>
      <c r="B151" s="331"/>
      <c r="C151" s="43"/>
      <c r="D151" s="43"/>
      <c r="E151" s="43"/>
      <c r="F151" s="43"/>
      <c r="G151" s="43"/>
      <c r="H151" s="43"/>
      <c r="I151" s="43"/>
      <c r="J151" s="43"/>
      <c r="K151" s="43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spans="1:25" ht="13.5" customHeight="1">
      <c r="A152" s="329"/>
      <c r="B152" s="331"/>
      <c r="C152" s="43"/>
      <c r="D152" s="43"/>
      <c r="E152" s="43"/>
      <c r="F152" s="43"/>
      <c r="G152" s="43"/>
      <c r="H152" s="43"/>
      <c r="I152" s="43"/>
      <c r="J152" s="43"/>
      <c r="K152" s="43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spans="1:25" ht="13.5" customHeight="1">
      <c r="A153" s="329"/>
      <c r="B153" s="331"/>
      <c r="C153" s="43"/>
      <c r="D153" s="43"/>
      <c r="E153" s="43"/>
      <c r="F153" s="43"/>
      <c r="G153" s="43"/>
      <c r="H153" s="43"/>
      <c r="I153" s="43"/>
      <c r="J153" s="43"/>
      <c r="K153" s="43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spans="1:25" ht="13.5" customHeight="1">
      <c r="A154" s="329"/>
      <c r="B154" s="331"/>
      <c r="C154" s="43"/>
      <c r="D154" s="43"/>
      <c r="E154" s="43"/>
      <c r="F154" s="43"/>
      <c r="G154" s="43"/>
      <c r="H154" s="43"/>
      <c r="I154" s="43"/>
      <c r="J154" s="43"/>
      <c r="K154" s="43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spans="1:25" ht="13.5" customHeight="1">
      <c r="A155" s="329"/>
      <c r="B155" s="331"/>
      <c r="C155" s="43"/>
      <c r="D155" s="43"/>
      <c r="E155" s="43"/>
      <c r="F155" s="43"/>
      <c r="G155" s="43"/>
      <c r="H155" s="43"/>
      <c r="I155" s="43"/>
      <c r="J155" s="43"/>
      <c r="K155" s="43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spans="1:25" ht="13.5" customHeight="1">
      <c r="A156" s="329"/>
      <c r="B156" s="331"/>
      <c r="C156" s="43"/>
      <c r="D156" s="43"/>
      <c r="E156" s="43"/>
      <c r="F156" s="43"/>
      <c r="G156" s="43"/>
      <c r="H156" s="43"/>
      <c r="I156" s="43"/>
      <c r="J156" s="43"/>
      <c r="K156" s="43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spans="1:25" ht="13.5" customHeight="1">
      <c r="A157" s="329"/>
      <c r="B157" s="331"/>
      <c r="C157" s="43"/>
      <c r="D157" s="43"/>
      <c r="E157" s="43"/>
      <c r="F157" s="43"/>
      <c r="G157" s="43"/>
      <c r="H157" s="43"/>
      <c r="I157" s="43"/>
      <c r="J157" s="43"/>
      <c r="K157" s="43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spans="1:25" ht="13.5" customHeight="1">
      <c r="A158" s="329"/>
      <c r="B158" s="331"/>
      <c r="C158" s="43"/>
      <c r="D158" s="43"/>
      <c r="E158" s="43"/>
      <c r="F158" s="43"/>
      <c r="G158" s="43"/>
      <c r="H158" s="43"/>
      <c r="I158" s="43"/>
      <c r="J158" s="43"/>
      <c r="K158" s="43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spans="1:25" ht="13.5" customHeight="1">
      <c r="A159" s="329"/>
      <c r="B159" s="331"/>
      <c r="C159" s="43"/>
      <c r="D159" s="43"/>
      <c r="E159" s="43"/>
      <c r="F159" s="43"/>
      <c r="G159" s="43"/>
      <c r="H159" s="43"/>
      <c r="I159" s="43"/>
      <c r="J159" s="43"/>
      <c r="K159" s="43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spans="1:25" ht="13.5" customHeight="1">
      <c r="A160" s="329"/>
      <c r="B160" s="331"/>
      <c r="C160" s="43"/>
      <c r="D160" s="43"/>
      <c r="E160" s="43"/>
      <c r="F160" s="43"/>
      <c r="G160" s="43"/>
      <c r="H160" s="43"/>
      <c r="I160" s="43"/>
      <c r="J160" s="43"/>
      <c r="K160" s="43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spans="1:25" ht="13.5" customHeight="1">
      <c r="A161" s="329"/>
      <c r="B161" s="331"/>
      <c r="C161" s="43"/>
      <c r="D161" s="43"/>
      <c r="E161" s="43"/>
      <c r="F161" s="43"/>
      <c r="G161" s="43"/>
      <c r="H161" s="43"/>
      <c r="I161" s="43"/>
      <c r="J161" s="43"/>
      <c r="K161" s="43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spans="1:25" ht="13.5" customHeight="1">
      <c r="A162" s="329"/>
      <c r="B162" s="331"/>
      <c r="C162" s="43"/>
      <c r="D162" s="43"/>
      <c r="E162" s="43"/>
      <c r="F162" s="43"/>
      <c r="G162" s="43"/>
      <c r="H162" s="43"/>
      <c r="I162" s="43"/>
      <c r="J162" s="43"/>
      <c r="K162" s="43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spans="1:25" ht="13.5" customHeight="1">
      <c r="A163" s="329"/>
      <c r="B163" s="331"/>
      <c r="C163" s="43"/>
      <c r="D163" s="43"/>
      <c r="E163" s="43"/>
      <c r="F163" s="43"/>
      <c r="G163" s="43"/>
      <c r="H163" s="43"/>
      <c r="I163" s="43"/>
      <c r="J163" s="43"/>
      <c r="K163" s="43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spans="1:25" ht="13.5" customHeight="1">
      <c r="A164" s="329"/>
      <c r="B164" s="331"/>
      <c r="C164" s="43"/>
      <c r="D164" s="43"/>
      <c r="E164" s="43"/>
      <c r="F164" s="43"/>
      <c r="G164" s="43"/>
      <c r="H164" s="43"/>
      <c r="I164" s="43"/>
      <c r="J164" s="43"/>
      <c r="K164" s="43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spans="1:25" ht="13.5" customHeight="1">
      <c r="A165" s="329"/>
      <c r="B165" s="331"/>
      <c r="C165" s="43"/>
      <c r="D165" s="43"/>
      <c r="E165" s="43"/>
      <c r="F165" s="43"/>
      <c r="G165" s="43"/>
      <c r="H165" s="43"/>
      <c r="I165" s="43"/>
      <c r="J165" s="43"/>
      <c r="K165" s="43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spans="1:25" ht="13.5" customHeight="1">
      <c r="A166" s="329"/>
      <c r="B166" s="331"/>
      <c r="C166" s="43"/>
      <c r="D166" s="43"/>
      <c r="E166" s="43"/>
      <c r="F166" s="43"/>
      <c r="G166" s="43"/>
      <c r="H166" s="43"/>
      <c r="I166" s="43"/>
      <c r="J166" s="43"/>
      <c r="K166" s="43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spans="1:25" ht="13.5" customHeight="1">
      <c r="A167" s="329"/>
      <c r="B167" s="331"/>
      <c r="C167" s="43"/>
      <c r="D167" s="43"/>
      <c r="E167" s="43"/>
      <c r="F167" s="43"/>
      <c r="G167" s="43"/>
      <c r="H167" s="43"/>
      <c r="I167" s="43"/>
      <c r="J167" s="43"/>
      <c r="K167" s="43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spans="1:25" ht="13.5" customHeight="1">
      <c r="A168" s="329"/>
      <c r="B168" s="331"/>
      <c r="C168" s="43"/>
      <c r="D168" s="43"/>
      <c r="E168" s="43"/>
      <c r="F168" s="43"/>
      <c r="G168" s="43"/>
      <c r="H168" s="43"/>
      <c r="I168" s="43"/>
      <c r="J168" s="43"/>
      <c r="K168" s="43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spans="1:25" ht="13.5" customHeight="1">
      <c r="A169" s="329"/>
      <c r="B169" s="331"/>
      <c r="C169" s="43"/>
      <c r="D169" s="43"/>
      <c r="E169" s="43"/>
      <c r="F169" s="43"/>
      <c r="G169" s="43"/>
      <c r="H169" s="43"/>
      <c r="I169" s="43"/>
      <c r="J169" s="43"/>
      <c r="K169" s="43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spans="1:25" ht="13.5" customHeight="1">
      <c r="A170" s="329"/>
      <c r="B170" s="331"/>
      <c r="C170" s="43"/>
      <c r="D170" s="43"/>
      <c r="E170" s="43"/>
      <c r="F170" s="43"/>
      <c r="G170" s="43"/>
      <c r="H170" s="43"/>
      <c r="I170" s="43"/>
      <c r="J170" s="43"/>
      <c r="K170" s="43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spans="1:25" ht="13.5" customHeight="1">
      <c r="A171" s="329"/>
      <c r="B171" s="331"/>
      <c r="C171" s="43"/>
      <c r="D171" s="43"/>
      <c r="E171" s="43"/>
      <c r="F171" s="43"/>
      <c r="G171" s="43"/>
      <c r="H171" s="43"/>
      <c r="I171" s="43"/>
      <c r="J171" s="43"/>
      <c r="K171" s="43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spans="1:25" ht="13.5" customHeight="1">
      <c r="A172" s="329"/>
      <c r="B172" s="331"/>
      <c r="C172" s="43"/>
      <c r="D172" s="43"/>
      <c r="E172" s="43"/>
      <c r="F172" s="43"/>
      <c r="G172" s="43"/>
      <c r="H172" s="43"/>
      <c r="I172" s="43"/>
      <c r="J172" s="43"/>
      <c r="K172" s="43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spans="1:25" ht="13.5" customHeight="1">
      <c r="A173" s="329"/>
      <c r="B173" s="331"/>
      <c r="C173" s="43"/>
      <c r="D173" s="43"/>
      <c r="E173" s="43"/>
      <c r="F173" s="43"/>
      <c r="G173" s="43"/>
      <c r="H173" s="43"/>
      <c r="I173" s="43"/>
      <c r="J173" s="43"/>
      <c r="K173" s="43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spans="1:25" ht="13.5" customHeight="1">
      <c r="A174" s="329"/>
      <c r="B174" s="331"/>
      <c r="C174" s="43"/>
      <c r="D174" s="43"/>
      <c r="E174" s="43"/>
      <c r="F174" s="43"/>
      <c r="G174" s="43"/>
      <c r="H174" s="43"/>
      <c r="I174" s="43"/>
      <c r="J174" s="43"/>
      <c r="K174" s="43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spans="1:25" ht="13.5" customHeight="1">
      <c r="A175" s="329"/>
      <c r="B175" s="331"/>
      <c r="C175" s="43"/>
      <c r="D175" s="43"/>
      <c r="E175" s="43"/>
      <c r="F175" s="43"/>
      <c r="G175" s="43"/>
      <c r="H175" s="43"/>
      <c r="I175" s="43"/>
      <c r="J175" s="43"/>
      <c r="K175" s="43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spans="1:25" ht="13.5" customHeight="1">
      <c r="A176" s="329"/>
      <c r="B176" s="331"/>
      <c r="C176" s="43"/>
      <c r="D176" s="43"/>
      <c r="E176" s="43"/>
      <c r="F176" s="43"/>
      <c r="G176" s="43"/>
      <c r="H176" s="43"/>
      <c r="I176" s="43"/>
      <c r="J176" s="43"/>
      <c r="K176" s="43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spans="1:25" ht="13.5" customHeight="1">
      <c r="A177" s="329"/>
      <c r="B177" s="331"/>
      <c r="C177" s="43"/>
      <c r="D177" s="43"/>
      <c r="E177" s="43"/>
      <c r="F177" s="43"/>
      <c r="G177" s="43"/>
      <c r="H177" s="43"/>
      <c r="I177" s="43"/>
      <c r="J177" s="43"/>
      <c r="K177" s="43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spans="1:25" ht="13.5" customHeight="1">
      <c r="A178" s="329"/>
      <c r="B178" s="331"/>
      <c r="C178" s="43"/>
      <c r="D178" s="43"/>
      <c r="E178" s="43"/>
      <c r="F178" s="43"/>
      <c r="G178" s="43"/>
      <c r="H178" s="43"/>
      <c r="I178" s="43"/>
      <c r="J178" s="43"/>
      <c r="K178" s="43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spans="1:25" ht="13.5" customHeight="1">
      <c r="A179" s="329"/>
      <c r="B179" s="331"/>
      <c r="C179" s="43"/>
      <c r="D179" s="43"/>
      <c r="E179" s="43"/>
      <c r="F179" s="43"/>
      <c r="G179" s="43"/>
      <c r="H179" s="43"/>
      <c r="I179" s="43"/>
      <c r="J179" s="43"/>
      <c r="K179" s="43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spans="1:25" ht="13.5" customHeight="1">
      <c r="A180" s="329"/>
      <c r="B180" s="331"/>
      <c r="C180" s="43"/>
      <c r="D180" s="43"/>
      <c r="E180" s="43"/>
      <c r="F180" s="43"/>
      <c r="G180" s="43"/>
      <c r="H180" s="43"/>
      <c r="I180" s="43"/>
      <c r="J180" s="43"/>
      <c r="K180" s="43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spans="1:25" ht="13.5" customHeight="1">
      <c r="A181" s="329"/>
      <c r="B181" s="331"/>
      <c r="C181" s="43"/>
      <c r="D181" s="43"/>
      <c r="E181" s="43"/>
      <c r="F181" s="43"/>
      <c r="G181" s="43"/>
      <c r="H181" s="43"/>
      <c r="I181" s="43"/>
      <c r="J181" s="43"/>
      <c r="K181" s="43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spans="1:25" ht="13.5" customHeight="1">
      <c r="A182" s="329"/>
      <c r="B182" s="331"/>
      <c r="C182" s="43"/>
      <c r="D182" s="43"/>
      <c r="E182" s="43"/>
      <c r="F182" s="43"/>
      <c r="G182" s="43"/>
      <c r="H182" s="43"/>
      <c r="I182" s="43"/>
      <c r="J182" s="43"/>
      <c r="K182" s="43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spans="1:25" ht="13.5" customHeight="1">
      <c r="A183" s="329"/>
      <c r="B183" s="331"/>
      <c r="C183" s="43"/>
      <c r="D183" s="43"/>
      <c r="E183" s="43"/>
      <c r="F183" s="43"/>
      <c r="G183" s="43"/>
      <c r="H183" s="43"/>
      <c r="I183" s="43"/>
      <c r="J183" s="43"/>
      <c r="K183" s="43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spans="1:25" ht="13.5" customHeight="1">
      <c r="A184" s="329"/>
      <c r="B184" s="331"/>
      <c r="C184" s="43"/>
      <c r="D184" s="43"/>
      <c r="E184" s="43"/>
      <c r="F184" s="43"/>
      <c r="G184" s="43"/>
      <c r="H184" s="43"/>
      <c r="I184" s="43"/>
      <c r="J184" s="43"/>
      <c r="K184" s="43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spans="1:25" ht="13.5" customHeight="1">
      <c r="A185" s="329"/>
      <c r="B185" s="331"/>
      <c r="C185" s="43"/>
      <c r="D185" s="43"/>
      <c r="E185" s="43"/>
      <c r="F185" s="43"/>
      <c r="G185" s="43"/>
      <c r="H185" s="43"/>
      <c r="I185" s="43"/>
      <c r="J185" s="43"/>
      <c r="K185" s="43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spans="1:25" ht="13.5" customHeight="1">
      <c r="A186" s="329"/>
      <c r="B186" s="331"/>
      <c r="C186" s="43"/>
      <c r="D186" s="43"/>
      <c r="E186" s="43"/>
      <c r="F186" s="43"/>
      <c r="G186" s="43"/>
      <c r="H186" s="43"/>
      <c r="I186" s="43"/>
      <c r="J186" s="43"/>
      <c r="K186" s="43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spans="1:25" ht="13.5" customHeight="1">
      <c r="A187" s="329"/>
      <c r="B187" s="331"/>
      <c r="C187" s="43"/>
      <c r="D187" s="43"/>
      <c r="E187" s="43"/>
      <c r="F187" s="43"/>
      <c r="G187" s="43"/>
      <c r="H187" s="43"/>
      <c r="I187" s="43"/>
      <c r="J187" s="43"/>
      <c r="K187" s="43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spans="1:25" ht="13.5" customHeight="1">
      <c r="A188" s="329"/>
      <c r="B188" s="331"/>
      <c r="C188" s="43"/>
      <c r="D188" s="43"/>
      <c r="E188" s="43"/>
      <c r="F188" s="43"/>
      <c r="G188" s="43"/>
      <c r="H188" s="43"/>
      <c r="I188" s="43"/>
      <c r="J188" s="43"/>
      <c r="K188" s="43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spans="1:25" ht="13.5" customHeight="1">
      <c r="A189" s="329"/>
      <c r="B189" s="331"/>
      <c r="C189" s="43"/>
      <c r="D189" s="43"/>
      <c r="E189" s="43"/>
      <c r="F189" s="43"/>
      <c r="G189" s="43"/>
      <c r="H189" s="43"/>
      <c r="I189" s="43"/>
      <c r="J189" s="43"/>
      <c r="K189" s="43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  <row r="190" spans="1:25" ht="13.5" customHeight="1">
      <c r="A190" s="329"/>
      <c r="B190" s="331"/>
      <c r="C190" s="43"/>
      <c r="D190" s="43"/>
      <c r="E190" s="43"/>
      <c r="F190" s="43"/>
      <c r="G190" s="43"/>
      <c r="H190" s="43"/>
      <c r="I190" s="43"/>
      <c r="J190" s="43"/>
      <c r="K190" s="43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</row>
    <row r="191" spans="1:25" ht="13.5" customHeight="1">
      <c r="A191" s="329"/>
      <c r="B191" s="331"/>
      <c r="C191" s="43"/>
      <c r="D191" s="43"/>
      <c r="E191" s="43"/>
      <c r="F191" s="43"/>
      <c r="G191" s="43"/>
      <c r="H191" s="43"/>
      <c r="I191" s="43"/>
      <c r="J191" s="43"/>
      <c r="K191" s="43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</row>
    <row r="192" spans="1:25" ht="13.5" customHeight="1">
      <c r="A192" s="329"/>
      <c r="B192" s="331"/>
      <c r="C192" s="43"/>
      <c r="D192" s="43"/>
      <c r="E192" s="43"/>
      <c r="F192" s="43"/>
      <c r="G192" s="43"/>
      <c r="H192" s="43"/>
      <c r="I192" s="43"/>
      <c r="J192" s="43"/>
      <c r="K192" s="43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</row>
    <row r="193" spans="1:25" ht="13.5" customHeight="1">
      <c r="A193" s="329"/>
      <c r="B193" s="331"/>
      <c r="C193" s="43"/>
      <c r="D193" s="43"/>
      <c r="E193" s="43"/>
      <c r="F193" s="43"/>
      <c r="G193" s="43"/>
      <c r="H193" s="43"/>
      <c r="I193" s="43"/>
      <c r="J193" s="43"/>
      <c r="K193" s="43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</row>
    <row r="194" spans="1:25" ht="13.5" customHeight="1">
      <c r="A194" s="329"/>
      <c r="B194" s="331"/>
      <c r="C194" s="43"/>
      <c r="D194" s="43"/>
      <c r="E194" s="43"/>
      <c r="F194" s="43"/>
      <c r="G194" s="43"/>
      <c r="H194" s="43"/>
      <c r="I194" s="43"/>
      <c r="J194" s="43"/>
      <c r="K194" s="43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</row>
    <row r="195" spans="1:25" ht="13.5" customHeight="1">
      <c r="A195" s="329"/>
      <c r="B195" s="331"/>
      <c r="C195" s="43"/>
      <c r="D195" s="43"/>
      <c r="E195" s="43"/>
      <c r="F195" s="43"/>
      <c r="G195" s="43"/>
      <c r="H195" s="43"/>
      <c r="I195" s="43"/>
      <c r="J195" s="43"/>
      <c r="K195" s="43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</row>
    <row r="196" spans="1:25" ht="13.5" customHeight="1">
      <c r="A196" s="329"/>
      <c r="B196" s="331"/>
      <c r="C196" s="43"/>
      <c r="D196" s="43"/>
      <c r="E196" s="43"/>
      <c r="F196" s="43"/>
      <c r="G196" s="43"/>
      <c r="H196" s="43"/>
      <c r="I196" s="43"/>
      <c r="J196" s="43"/>
      <c r="K196" s="43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</row>
    <row r="197" spans="1:25" ht="13.5" customHeight="1">
      <c r="A197" s="329"/>
      <c r="B197" s="331"/>
      <c r="C197" s="43"/>
      <c r="D197" s="43"/>
      <c r="E197" s="43"/>
      <c r="F197" s="43"/>
      <c r="G197" s="43"/>
      <c r="H197" s="43"/>
      <c r="I197" s="43"/>
      <c r="J197" s="43"/>
      <c r="K197" s="43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</row>
    <row r="198" spans="1:25" ht="13.5" customHeight="1">
      <c r="A198" s="329"/>
      <c r="B198" s="331"/>
      <c r="C198" s="43"/>
      <c r="D198" s="43"/>
      <c r="E198" s="43"/>
      <c r="F198" s="43"/>
      <c r="G198" s="43"/>
      <c r="H198" s="43"/>
      <c r="I198" s="43"/>
      <c r="J198" s="43"/>
      <c r="K198" s="43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spans="1:25" ht="13.5" customHeight="1">
      <c r="A199" s="329"/>
      <c r="B199" s="331"/>
      <c r="C199" s="43"/>
      <c r="D199" s="43"/>
      <c r="E199" s="43"/>
      <c r="F199" s="43"/>
      <c r="G199" s="43"/>
      <c r="H199" s="43"/>
      <c r="I199" s="43"/>
      <c r="J199" s="43"/>
      <c r="K199" s="43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</row>
    <row r="200" spans="1:25" ht="13.5" customHeight="1">
      <c r="A200" s="329"/>
      <c r="B200" s="331"/>
      <c r="C200" s="43"/>
      <c r="D200" s="43"/>
      <c r="E200" s="43"/>
      <c r="F200" s="43"/>
      <c r="G200" s="43"/>
      <c r="H200" s="43"/>
      <c r="I200" s="43"/>
      <c r="J200" s="43"/>
      <c r="K200" s="43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</row>
    <row r="201" spans="1:25" ht="13.5" customHeight="1">
      <c r="A201" s="329"/>
      <c r="B201" s="331"/>
      <c r="C201" s="43"/>
      <c r="D201" s="43"/>
      <c r="E201" s="43"/>
      <c r="F201" s="43"/>
      <c r="G201" s="43"/>
      <c r="H201" s="43"/>
      <c r="I201" s="43"/>
      <c r="J201" s="43"/>
      <c r="K201" s="43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</row>
    <row r="202" spans="1:25" ht="13.5" customHeight="1">
      <c r="A202" s="329"/>
      <c r="B202" s="331"/>
      <c r="C202" s="43"/>
      <c r="D202" s="43"/>
      <c r="E202" s="43"/>
      <c r="F202" s="43"/>
      <c r="G202" s="43"/>
      <c r="H202" s="43"/>
      <c r="I202" s="43"/>
      <c r="J202" s="43"/>
      <c r="K202" s="43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</row>
    <row r="203" spans="1:25" ht="13.5" customHeight="1">
      <c r="A203" s="329"/>
      <c r="B203" s="331"/>
      <c r="C203" s="43"/>
      <c r="D203" s="43"/>
      <c r="E203" s="43"/>
      <c r="F203" s="43"/>
      <c r="G203" s="43"/>
      <c r="H203" s="43"/>
      <c r="I203" s="43"/>
      <c r="J203" s="43"/>
      <c r="K203" s="43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</row>
    <row r="204" spans="1:25" ht="13.5" customHeight="1">
      <c r="A204" s="329"/>
      <c r="B204" s="331"/>
      <c r="C204" s="43"/>
      <c r="D204" s="43"/>
      <c r="E204" s="43"/>
      <c r="F204" s="43"/>
      <c r="G204" s="43"/>
      <c r="H204" s="43"/>
      <c r="I204" s="43"/>
      <c r="J204" s="43"/>
      <c r="K204" s="43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</row>
    <row r="205" spans="1:25" ht="13.5" customHeight="1">
      <c r="A205" s="329"/>
      <c r="B205" s="331"/>
      <c r="C205" s="43"/>
      <c r="D205" s="43"/>
      <c r="E205" s="43"/>
      <c r="F205" s="43"/>
      <c r="G205" s="43"/>
      <c r="H205" s="43"/>
      <c r="I205" s="43"/>
      <c r="J205" s="43"/>
      <c r="K205" s="43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</row>
    <row r="206" spans="1:25" ht="13.5" customHeight="1">
      <c r="A206" s="329"/>
      <c r="B206" s="331"/>
      <c r="C206" s="43"/>
      <c r="D206" s="43"/>
      <c r="E206" s="43"/>
      <c r="F206" s="43"/>
      <c r="G206" s="43"/>
      <c r="H206" s="43"/>
      <c r="I206" s="43"/>
      <c r="J206" s="43"/>
      <c r="K206" s="43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</row>
    <row r="207" spans="1:25" ht="13.5" customHeight="1">
      <c r="A207" s="329"/>
      <c r="B207" s="331"/>
      <c r="C207" s="43"/>
      <c r="D207" s="43"/>
      <c r="E207" s="43"/>
      <c r="F207" s="43"/>
      <c r="G207" s="43"/>
      <c r="H207" s="43"/>
      <c r="I207" s="43"/>
      <c r="J207" s="43"/>
      <c r="K207" s="43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</row>
    <row r="208" spans="1:25" ht="13.5" customHeight="1">
      <c r="A208" s="329"/>
      <c r="B208" s="331"/>
      <c r="C208" s="43"/>
      <c r="D208" s="43"/>
      <c r="E208" s="43"/>
      <c r="F208" s="43"/>
      <c r="G208" s="43"/>
      <c r="H208" s="43"/>
      <c r="I208" s="43"/>
      <c r="J208" s="43"/>
      <c r="K208" s="43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</row>
    <row r="209" spans="1:25" ht="13.5" customHeight="1">
      <c r="A209" s="329"/>
      <c r="B209" s="331"/>
      <c r="C209" s="43"/>
      <c r="D209" s="43"/>
      <c r="E209" s="43"/>
      <c r="F209" s="43"/>
      <c r="G209" s="43"/>
      <c r="H209" s="43"/>
      <c r="I209" s="43"/>
      <c r="J209" s="43"/>
      <c r="K209" s="43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</row>
    <row r="210" spans="1:25" ht="13.5" customHeight="1">
      <c r="A210" s="329"/>
      <c r="B210" s="331"/>
      <c r="C210" s="43"/>
      <c r="D210" s="43"/>
      <c r="E210" s="43"/>
      <c r="F210" s="43"/>
      <c r="G210" s="43"/>
      <c r="H210" s="43"/>
      <c r="I210" s="43"/>
      <c r="J210" s="43"/>
      <c r="K210" s="43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</row>
    <row r="211" spans="1:25" ht="13.5" customHeight="1">
      <c r="A211" s="329"/>
      <c r="B211" s="331"/>
      <c r="C211" s="43"/>
      <c r="D211" s="43"/>
      <c r="E211" s="43"/>
      <c r="F211" s="43"/>
      <c r="G211" s="43"/>
      <c r="H211" s="43"/>
      <c r="I211" s="43"/>
      <c r="J211" s="43"/>
      <c r="K211" s="43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</row>
    <row r="212" spans="1:25" ht="13.5" customHeight="1">
      <c r="A212" s="329"/>
      <c r="B212" s="331"/>
      <c r="C212" s="43"/>
      <c r="D212" s="43"/>
      <c r="E212" s="43"/>
      <c r="F212" s="43"/>
      <c r="G212" s="43"/>
      <c r="H212" s="43"/>
      <c r="I212" s="43"/>
      <c r="J212" s="43"/>
      <c r="K212" s="43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</row>
    <row r="213" spans="1:25" ht="13.5" customHeight="1">
      <c r="A213" s="329"/>
      <c r="B213" s="331"/>
      <c r="C213" s="43"/>
      <c r="D213" s="43"/>
      <c r="E213" s="43"/>
      <c r="F213" s="43"/>
      <c r="G213" s="43"/>
      <c r="H213" s="43"/>
      <c r="I213" s="43"/>
      <c r="J213" s="43"/>
      <c r="K213" s="43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</row>
    <row r="214" spans="1:25" ht="13.5" customHeight="1">
      <c r="A214" s="329"/>
      <c r="B214" s="331"/>
      <c r="C214" s="43"/>
      <c r="D214" s="43"/>
      <c r="E214" s="43"/>
      <c r="F214" s="43"/>
      <c r="G214" s="43"/>
      <c r="H214" s="43"/>
      <c r="I214" s="43"/>
      <c r="J214" s="43"/>
      <c r="K214" s="43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</row>
    <row r="215" spans="1:25" ht="13.5" customHeight="1">
      <c r="A215" s="329"/>
      <c r="B215" s="331"/>
      <c r="C215" s="43"/>
      <c r="D215" s="43"/>
      <c r="E215" s="43"/>
      <c r="F215" s="43"/>
      <c r="G215" s="43"/>
      <c r="H215" s="43"/>
      <c r="I215" s="43"/>
      <c r="J215" s="43"/>
      <c r="K215" s="43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</row>
    <row r="216" spans="1:25" ht="13.5" customHeight="1">
      <c r="A216" s="329"/>
      <c r="B216" s="331"/>
      <c r="C216" s="43"/>
      <c r="D216" s="43"/>
      <c r="E216" s="43"/>
      <c r="F216" s="43"/>
      <c r="G216" s="43"/>
      <c r="H216" s="43"/>
      <c r="I216" s="43"/>
      <c r="J216" s="43"/>
      <c r="K216" s="43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</row>
    <row r="217" spans="1:25" ht="13.5" customHeight="1">
      <c r="A217" s="329"/>
      <c r="B217" s="331"/>
      <c r="C217" s="43"/>
      <c r="D217" s="43"/>
      <c r="E217" s="43"/>
      <c r="F217" s="43"/>
      <c r="G217" s="43"/>
      <c r="H217" s="43"/>
      <c r="I217" s="43"/>
      <c r="J217" s="43"/>
      <c r="K217" s="43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</row>
    <row r="218" spans="1:25" ht="13.5" customHeight="1">
      <c r="A218" s="329"/>
      <c r="B218" s="331"/>
      <c r="C218" s="43"/>
      <c r="D218" s="43"/>
      <c r="E218" s="43"/>
      <c r="F218" s="43"/>
      <c r="G218" s="43"/>
      <c r="H218" s="43"/>
      <c r="I218" s="43"/>
      <c r="J218" s="43"/>
      <c r="K218" s="43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</row>
    <row r="219" spans="1:25" ht="13.5" customHeight="1">
      <c r="A219" s="329"/>
      <c r="B219" s="331"/>
      <c r="C219" s="43"/>
      <c r="D219" s="43"/>
      <c r="E219" s="43"/>
      <c r="F219" s="43"/>
      <c r="G219" s="43"/>
      <c r="H219" s="43"/>
      <c r="I219" s="43"/>
      <c r="J219" s="43"/>
      <c r="K219" s="43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</row>
    <row r="220" spans="1:25" ht="13.5" customHeight="1">
      <c r="A220" s="329"/>
      <c r="B220" s="331"/>
      <c r="C220" s="43"/>
      <c r="D220" s="43"/>
      <c r="E220" s="43"/>
      <c r="F220" s="43"/>
      <c r="G220" s="43"/>
      <c r="H220" s="43"/>
      <c r="I220" s="43"/>
      <c r="J220" s="43"/>
      <c r="K220" s="43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</row>
    <row r="221" spans="1:25" ht="13.5" customHeight="1">
      <c r="A221" s="329"/>
      <c r="B221" s="331"/>
      <c r="C221" s="43"/>
      <c r="D221" s="43"/>
      <c r="E221" s="43"/>
      <c r="F221" s="43"/>
      <c r="G221" s="43"/>
      <c r="H221" s="43"/>
      <c r="I221" s="43"/>
      <c r="J221" s="43"/>
      <c r="K221" s="43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</row>
    <row r="222" spans="1:25" ht="13.5" customHeight="1">
      <c r="A222" s="329"/>
      <c r="B222" s="331"/>
      <c r="C222" s="43"/>
      <c r="D222" s="43"/>
      <c r="E222" s="43"/>
      <c r="F222" s="43"/>
      <c r="G222" s="43"/>
      <c r="H222" s="43"/>
      <c r="I222" s="43"/>
      <c r="J222" s="43"/>
      <c r="K222" s="43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</row>
    <row r="223" spans="1:25" ht="13.5" customHeight="1">
      <c r="A223" s="329"/>
      <c r="B223" s="331"/>
      <c r="C223" s="43"/>
      <c r="D223" s="43"/>
      <c r="E223" s="43"/>
      <c r="F223" s="43"/>
      <c r="G223" s="43"/>
      <c r="H223" s="43"/>
      <c r="I223" s="43"/>
      <c r="J223" s="43"/>
      <c r="K223" s="43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</row>
    <row r="224" spans="1:25" ht="13.5" customHeight="1">
      <c r="A224" s="329"/>
      <c r="B224" s="331"/>
      <c r="C224" s="43"/>
      <c r="D224" s="43"/>
      <c r="E224" s="43"/>
      <c r="F224" s="43"/>
      <c r="G224" s="43"/>
      <c r="H224" s="43"/>
      <c r="I224" s="43"/>
      <c r="J224" s="43"/>
      <c r="K224" s="43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</row>
    <row r="225" spans="1:25" ht="13.5" customHeight="1">
      <c r="A225" s="329"/>
      <c r="B225" s="331"/>
      <c r="C225" s="43"/>
      <c r="D225" s="43"/>
      <c r="E225" s="43"/>
      <c r="F225" s="43"/>
      <c r="G225" s="43"/>
      <c r="H225" s="43"/>
      <c r="I225" s="43"/>
      <c r="J225" s="43"/>
      <c r="K225" s="43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</row>
    <row r="226" spans="1:25" ht="13.5" customHeight="1">
      <c r="A226" s="329"/>
      <c r="B226" s="331"/>
      <c r="C226" s="43"/>
      <c r="D226" s="43"/>
      <c r="E226" s="43"/>
      <c r="F226" s="43"/>
      <c r="G226" s="43"/>
      <c r="H226" s="43"/>
      <c r="I226" s="43"/>
      <c r="J226" s="43"/>
      <c r="K226" s="43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</row>
    <row r="227" spans="1:25" ht="13.5" customHeight="1">
      <c r="A227" s="329"/>
      <c r="B227" s="331"/>
      <c r="C227" s="43"/>
      <c r="D227" s="43"/>
      <c r="E227" s="43"/>
      <c r="F227" s="43"/>
      <c r="G227" s="43"/>
      <c r="H227" s="43"/>
      <c r="I227" s="43"/>
      <c r="J227" s="43"/>
      <c r="K227" s="43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</row>
    <row r="228" spans="1:25" ht="13.5" customHeight="1">
      <c r="A228" s="329"/>
      <c r="B228" s="331"/>
      <c r="C228" s="43"/>
      <c r="D228" s="43"/>
      <c r="E228" s="43"/>
      <c r="F228" s="43"/>
      <c r="G228" s="43"/>
      <c r="H228" s="43"/>
      <c r="I228" s="43"/>
      <c r="J228" s="43"/>
      <c r="K228" s="43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</row>
    <row r="229" spans="1:25" ht="13.5" customHeight="1">
      <c r="A229" s="329"/>
      <c r="B229" s="331"/>
      <c r="C229" s="43"/>
      <c r="D229" s="43"/>
      <c r="E229" s="43"/>
      <c r="F229" s="43"/>
      <c r="G229" s="43"/>
      <c r="H229" s="43"/>
      <c r="I229" s="43"/>
      <c r="J229" s="43"/>
      <c r="K229" s="43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</row>
    <row r="230" spans="1:25" ht="13.5" customHeight="1">
      <c r="A230" s="329"/>
      <c r="B230" s="331"/>
      <c r="C230" s="43"/>
      <c r="D230" s="43"/>
      <c r="E230" s="43"/>
      <c r="F230" s="43"/>
      <c r="G230" s="43"/>
      <c r="H230" s="43"/>
      <c r="I230" s="43"/>
      <c r="J230" s="43"/>
      <c r="K230" s="43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</row>
    <row r="231" spans="1:25" ht="13.5" customHeight="1">
      <c r="A231" s="329"/>
      <c r="B231" s="331"/>
      <c r="C231" s="43"/>
      <c r="D231" s="43"/>
      <c r="E231" s="43"/>
      <c r="F231" s="43"/>
      <c r="G231" s="43"/>
      <c r="H231" s="43"/>
      <c r="I231" s="43"/>
      <c r="J231" s="43"/>
      <c r="K231" s="43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</row>
    <row r="232" spans="1:25" ht="13.5" customHeight="1">
      <c r="A232" s="329"/>
      <c r="B232" s="331"/>
      <c r="C232" s="43"/>
      <c r="D232" s="43"/>
      <c r="E232" s="43"/>
      <c r="F232" s="43"/>
      <c r="G232" s="43"/>
      <c r="H232" s="43"/>
      <c r="I232" s="43"/>
      <c r="J232" s="43"/>
      <c r="K232" s="43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</row>
    <row r="233" spans="1:25" ht="13.5" customHeight="1">
      <c r="A233" s="329"/>
      <c r="B233" s="331"/>
      <c r="C233" s="43"/>
      <c r="D233" s="43"/>
      <c r="E233" s="43"/>
      <c r="F233" s="43"/>
      <c r="G233" s="43"/>
      <c r="H233" s="43"/>
      <c r="I233" s="43"/>
      <c r="J233" s="43"/>
      <c r="K233" s="43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</row>
    <row r="234" spans="1:25" ht="13.5" customHeight="1">
      <c r="A234" s="329"/>
      <c r="B234" s="331"/>
      <c r="C234" s="43"/>
      <c r="D234" s="43"/>
      <c r="E234" s="43"/>
      <c r="F234" s="43"/>
      <c r="G234" s="43"/>
      <c r="H234" s="43"/>
      <c r="I234" s="43"/>
      <c r="J234" s="43"/>
      <c r="K234" s="43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</row>
    <row r="235" spans="1:25" ht="13.5" customHeight="1">
      <c r="A235" s="329"/>
      <c r="B235" s="331"/>
      <c r="C235" s="43"/>
      <c r="D235" s="43"/>
      <c r="E235" s="43"/>
      <c r="F235" s="43"/>
      <c r="G235" s="43"/>
      <c r="H235" s="43"/>
      <c r="I235" s="43"/>
      <c r="J235" s="43"/>
      <c r="K235" s="43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</row>
    <row r="236" spans="1:25" ht="13.5" customHeight="1">
      <c r="A236" s="329"/>
      <c r="B236" s="331"/>
      <c r="C236" s="43"/>
      <c r="D236" s="43"/>
      <c r="E236" s="43"/>
      <c r="F236" s="43"/>
      <c r="G236" s="43"/>
      <c r="H236" s="43"/>
      <c r="I236" s="43"/>
      <c r="J236" s="43"/>
      <c r="K236" s="43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</row>
    <row r="237" spans="1:25" ht="13.5" customHeight="1">
      <c r="A237" s="329"/>
      <c r="B237" s="331"/>
      <c r="C237" s="43"/>
      <c r="D237" s="43"/>
      <c r="E237" s="43"/>
      <c r="F237" s="43"/>
      <c r="G237" s="43"/>
      <c r="H237" s="43"/>
      <c r="I237" s="43"/>
      <c r="J237" s="43"/>
      <c r="K237" s="43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</row>
    <row r="238" spans="1:25" ht="13.5" customHeight="1">
      <c r="A238" s="329"/>
      <c r="B238" s="331"/>
      <c r="C238" s="43"/>
      <c r="D238" s="43"/>
      <c r="E238" s="43"/>
      <c r="F238" s="43"/>
      <c r="G238" s="43"/>
      <c r="H238" s="43"/>
      <c r="I238" s="43"/>
      <c r="J238" s="43"/>
      <c r="K238" s="43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</row>
    <row r="239" spans="1:25" ht="13.5" customHeight="1">
      <c r="A239" s="329"/>
      <c r="B239" s="331"/>
      <c r="C239" s="43"/>
      <c r="D239" s="43"/>
      <c r="E239" s="43"/>
      <c r="F239" s="43"/>
      <c r="G239" s="43"/>
      <c r="H239" s="43"/>
      <c r="I239" s="43"/>
      <c r="J239" s="43"/>
      <c r="K239" s="43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</row>
    <row r="240" spans="1:25" ht="13.5" customHeight="1">
      <c r="A240" s="329"/>
      <c r="B240" s="331"/>
      <c r="C240" s="43"/>
      <c r="D240" s="43"/>
      <c r="E240" s="43"/>
      <c r="F240" s="43"/>
      <c r="G240" s="43"/>
      <c r="H240" s="43"/>
      <c r="I240" s="43"/>
      <c r="J240" s="43"/>
      <c r="K240" s="43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</row>
    <row r="241" spans="1:25" ht="13.5" customHeight="1">
      <c r="A241" s="329"/>
      <c r="B241" s="331"/>
      <c r="C241" s="43"/>
      <c r="D241" s="43"/>
      <c r="E241" s="43"/>
      <c r="F241" s="43"/>
      <c r="G241" s="43"/>
      <c r="H241" s="43"/>
      <c r="I241" s="43"/>
      <c r="J241" s="43"/>
      <c r="K241" s="43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</row>
    <row r="242" spans="1:25" ht="13.5" customHeight="1">
      <c r="A242" s="329"/>
      <c r="B242" s="331"/>
      <c r="C242" s="43"/>
      <c r="D242" s="43"/>
      <c r="E242" s="43"/>
      <c r="F242" s="43"/>
      <c r="G242" s="43"/>
      <c r="H242" s="43"/>
      <c r="I242" s="43"/>
      <c r="J242" s="43"/>
      <c r="K242" s="43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</row>
    <row r="243" spans="1:25" ht="13.5" customHeight="1">
      <c r="A243" s="329"/>
      <c r="B243" s="331"/>
      <c r="C243" s="43"/>
      <c r="D243" s="43"/>
      <c r="E243" s="43"/>
      <c r="F243" s="43"/>
      <c r="G243" s="43"/>
      <c r="H243" s="43"/>
      <c r="I243" s="43"/>
      <c r="J243" s="43"/>
      <c r="K243" s="43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</row>
    <row r="244" spans="1:25" ht="13.5" customHeight="1">
      <c r="A244" s="329"/>
      <c r="B244" s="331"/>
      <c r="C244" s="43"/>
      <c r="D244" s="43"/>
      <c r="E244" s="43"/>
      <c r="F244" s="43"/>
      <c r="G244" s="43"/>
      <c r="H244" s="43"/>
      <c r="I244" s="43"/>
      <c r="J244" s="43"/>
      <c r="K244" s="43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</row>
    <row r="245" spans="1:25" ht="13.5" customHeight="1">
      <c r="A245" s="329"/>
      <c r="B245" s="331"/>
      <c r="C245" s="43"/>
      <c r="D245" s="43"/>
      <c r="E245" s="43"/>
      <c r="F245" s="43"/>
      <c r="G245" s="43"/>
      <c r="H245" s="43"/>
      <c r="I245" s="43"/>
      <c r="J245" s="43"/>
      <c r="K245" s="43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</row>
    <row r="246" spans="1:25" ht="13.5" customHeight="1">
      <c r="A246" s="329"/>
      <c r="B246" s="331"/>
      <c r="C246" s="43"/>
      <c r="D246" s="43"/>
      <c r="E246" s="43"/>
      <c r="F246" s="43"/>
      <c r="G246" s="43"/>
      <c r="H246" s="43"/>
      <c r="I246" s="43"/>
      <c r="J246" s="43"/>
      <c r="K246" s="43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</row>
    <row r="247" spans="1:25" ht="13.5" customHeight="1">
      <c r="A247" s="329"/>
      <c r="B247" s="331"/>
      <c r="C247" s="43"/>
      <c r="D247" s="43"/>
      <c r="E247" s="43"/>
      <c r="F247" s="43"/>
      <c r="G247" s="43"/>
      <c r="H247" s="43"/>
      <c r="I247" s="43"/>
      <c r="J247" s="43"/>
      <c r="K247" s="43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</row>
    <row r="248" spans="1:25" ht="13.5" customHeight="1">
      <c r="A248" s="329"/>
      <c r="B248" s="331"/>
      <c r="C248" s="43"/>
      <c r="D248" s="43"/>
      <c r="E248" s="43"/>
      <c r="F248" s="43"/>
      <c r="G248" s="43"/>
      <c r="H248" s="43"/>
      <c r="I248" s="43"/>
      <c r="J248" s="43"/>
      <c r="K248" s="43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</row>
    <row r="249" spans="1:25" ht="13.5" customHeight="1">
      <c r="A249" s="329"/>
      <c r="B249" s="331"/>
      <c r="C249" s="43"/>
      <c r="D249" s="43"/>
      <c r="E249" s="43"/>
      <c r="F249" s="43"/>
      <c r="G249" s="43"/>
      <c r="H249" s="43"/>
      <c r="I249" s="43"/>
      <c r="J249" s="43"/>
      <c r="K249" s="43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</row>
    <row r="250" spans="1:25" ht="13.5" customHeight="1">
      <c r="A250" s="329"/>
      <c r="B250" s="331"/>
      <c r="C250" s="43"/>
      <c r="D250" s="43"/>
      <c r="E250" s="43"/>
      <c r="F250" s="43"/>
      <c r="G250" s="43"/>
      <c r="H250" s="43"/>
      <c r="I250" s="43"/>
      <c r="J250" s="43"/>
      <c r="K250" s="43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</row>
    <row r="251" spans="1:25" ht="13.5" customHeight="1">
      <c r="A251" s="329"/>
      <c r="B251" s="331"/>
      <c r="C251" s="43"/>
      <c r="D251" s="43"/>
      <c r="E251" s="43"/>
      <c r="F251" s="43"/>
      <c r="G251" s="43"/>
      <c r="H251" s="43"/>
      <c r="I251" s="43"/>
      <c r="J251" s="43"/>
      <c r="K251" s="43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</row>
    <row r="252" spans="1:25" ht="13.5" customHeight="1">
      <c r="A252" s="329"/>
      <c r="B252" s="331"/>
      <c r="C252" s="43"/>
      <c r="D252" s="43"/>
      <c r="E252" s="43"/>
      <c r="F252" s="43"/>
      <c r="G252" s="43"/>
      <c r="H252" s="43"/>
      <c r="I252" s="43"/>
      <c r="J252" s="43"/>
      <c r="K252" s="43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</row>
    <row r="253" spans="1:25" ht="13.5" customHeight="1">
      <c r="A253" s="329"/>
      <c r="B253" s="331"/>
      <c r="C253" s="43"/>
      <c r="D253" s="43"/>
      <c r="E253" s="43"/>
      <c r="F253" s="43"/>
      <c r="G253" s="43"/>
      <c r="H253" s="43"/>
      <c r="I253" s="43"/>
      <c r="J253" s="43"/>
      <c r="K253" s="43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</row>
    <row r="254" spans="1:25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</row>
    <row r="255" spans="1:2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</row>
    <row r="256" spans="1:25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</row>
    <row r="257" spans="1:25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</row>
    <row r="258" spans="1:25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</row>
    <row r="259" spans="1:25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</row>
    <row r="260" spans="1:25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</row>
    <row r="261" spans="1:25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</row>
    <row r="262" spans="1:25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</row>
    <row r="263" spans="1:25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</row>
    <row r="264" spans="1:25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</row>
    <row r="265" spans="1:2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</row>
    <row r="266" spans="1:25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</row>
    <row r="267" spans="1:25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</row>
    <row r="268" spans="1:25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</row>
    <row r="269" spans="1:25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</row>
    <row r="270" spans="1:25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</row>
    <row r="271" spans="1:25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</row>
    <row r="272" spans="1:25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</row>
    <row r="273" spans="1:25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</row>
    <row r="274" spans="1:25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</row>
    <row r="275" spans="1:2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</row>
    <row r="276" spans="1:25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</row>
    <row r="277" spans="1:25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</row>
    <row r="278" spans="1:25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</row>
    <row r="279" spans="1:25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</row>
    <row r="280" spans="1:25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</row>
    <row r="281" spans="1:25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</row>
    <row r="282" spans="1:25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</row>
    <row r="283" spans="1:25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</row>
    <row r="284" spans="1:25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</row>
    <row r="285" spans="1:2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</row>
    <row r="286" spans="1:25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</row>
    <row r="287" spans="1:25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</row>
    <row r="288" spans="1:25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</row>
    <row r="289" spans="1:25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</row>
    <row r="290" spans="1:25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</row>
    <row r="291" spans="1:25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</row>
    <row r="292" spans="1:25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</row>
    <row r="293" spans="1:25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</row>
    <row r="294" spans="1:25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</row>
    <row r="295" spans="1:2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</row>
    <row r="296" spans="1:25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</row>
    <row r="297" spans="1:25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</row>
    <row r="298" spans="1:25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</row>
    <row r="299" spans="1:25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</row>
    <row r="300" spans="1:25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</row>
    <row r="301" spans="1:25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</row>
    <row r="302" spans="1:25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</row>
    <row r="303" spans="1:25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</row>
    <row r="304" spans="1:25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</row>
    <row r="305" spans="1:2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</row>
    <row r="306" spans="1:25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</row>
    <row r="307" spans="1:25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</row>
    <row r="308" spans="1:25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</row>
    <row r="309" spans="1:25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</row>
    <row r="310" spans="1:25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</row>
    <row r="311" spans="1:25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</row>
    <row r="312" spans="1:25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</row>
    <row r="313" spans="1:25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</row>
    <row r="314" spans="1:25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</row>
    <row r="315" spans="1:2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</row>
    <row r="316" spans="1:25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</row>
    <row r="317" spans="1:25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</row>
    <row r="318" spans="1:25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</row>
    <row r="319" spans="1:25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</row>
    <row r="320" spans="1:25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</row>
    <row r="321" spans="1:25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</row>
    <row r="322" spans="1:25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</row>
    <row r="323" spans="1:25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</row>
    <row r="324" spans="1:25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</row>
    <row r="325" spans="1: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</row>
    <row r="326" spans="1:25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</row>
    <row r="327" spans="1:25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</row>
    <row r="328" spans="1:25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</row>
    <row r="329" spans="1:25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</row>
    <row r="330" spans="1:25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</row>
    <row r="331" spans="1:25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</row>
    <row r="332" spans="1:25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</row>
    <row r="333" spans="1:25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</row>
    <row r="334" spans="1:25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</row>
    <row r="335" spans="1:2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</row>
    <row r="336" spans="1:25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</row>
    <row r="337" spans="1:25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</row>
    <row r="338" spans="1:25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</row>
    <row r="339" spans="1:25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</row>
    <row r="340" spans="1:25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</row>
    <row r="341" spans="1:25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</row>
    <row r="342" spans="1:25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</row>
    <row r="343" spans="1:25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</row>
    <row r="344" spans="1:25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</row>
    <row r="345" spans="1:2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</row>
    <row r="346" spans="1:25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</row>
    <row r="347" spans="1:25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</row>
    <row r="348" spans="1:25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</row>
    <row r="349" spans="1:25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</row>
    <row r="350" spans="1:25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</row>
    <row r="351" spans="1:25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</row>
    <row r="352" spans="1:25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</row>
    <row r="353" spans="1:25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</row>
    <row r="354" spans="1:25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</row>
    <row r="355" spans="1:2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</row>
    <row r="356" spans="1:25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</row>
    <row r="357" spans="1:25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</row>
    <row r="358" spans="1:25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</row>
    <row r="359" spans="1:25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</row>
    <row r="360" spans="1:25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</row>
    <row r="361" spans="1:25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</row>
    <row r="362" spans="1:25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</row>
    <row r="363" spans="1:25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</row>
    <row r="364" spans="1:25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</row>
    <row r="365" spans="1:2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</row>
    <row r="366" spans="1:25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</row>
    <row r="367" spans="1:25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</row>
    <row r="368" spans="1:25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</row>
    <row r="369" spans="1:25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</row>
    <row r="370" spans="1:25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</row>
    <row r="371" spans="1:25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</row>
    <row r="372" spans="1:25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</row>
    <row r="373" spans="1:25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</row>
    <row r="374" spans="1:25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</row>
    <row r="375" spans="1:2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</row>
    <row r="376" spans="1:25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</row>
    <row r="377" spans="1:25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</row>
    <row r="378" spans="1:25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</row>
    <row r="379" spans="1:25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</row>
    <row r="380" spans="1:25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</row>
    <row r="381" spans="1:25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</row>
    <row r="382" spans="1:25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</row>
    <row r="383" spans="1:25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</row>
    <row r="384" spans="1:25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</row>
    <row r="385" spans="1:2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</row>
    <row r="386" spans="1:25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</row>
    <row r="387" spans="1:25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</row>
    <row r="388" spans="1:25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</row>
    <row r="389" spans="1:25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</row>
    <row r="390" spans="1:25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</row>
    <row r="391" spans="1:25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</row>
    <row r="392" spans="1:25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</row>
    <row r="393" spans="1:25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</row>
    <row r="394" spans="1:25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</row>
    <row r="395" spans="1:2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</row>
    <row r="396" spans="1:25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</row>
    <row r="397" spans="1:25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</row>
    <row r="398" spans="1:25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</row>
    <row r="399" spans="1:25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</row>
    <row r="400" spans="1:25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</row>
    <row r="401" spans="1:25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</row>
    <row r="402" spans="1:25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</row>
    <row r="403" spans="1:25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</row>
    <row r="404" spans="1:25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</row>
    <row r="405" spans="1:2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</row>
    <row r="406" spans="1:25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</row>
    <row r="407" spans="1:25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</row>
    <row r="408" spans="1:25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</row>
    <row r="409" spans="1:25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</row>
    <row r="410" spans="1:25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</row>
    <row r="411" spans="1:25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</row>
    <row r="412" spans="1:25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</row>
    <row r="413" spans="1:25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</row>
    <row r="414" spans="1:25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</row>
    <row r="415" spans="1:2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</row>
    <row r="416" spans="1:25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</row>
    <row r="417" spans="1:25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</row>
    <row r="418" spans="1:25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</row>
    <row r="419" spans="1:25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</row>
    <row r="420" spans="1:25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</row>
    <row r="421" spans="1:25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</row>
    <row r="422" spans="1:25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</row>
    <row r="423" spans="1:25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</row>
    <row r="424" spans="1:25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</row>
    <row r="425" spans="1: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</row>
    <row r="426" spans="1:25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</row>
    <row r="427" spans="1:25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</row>
    <row r="428" spans="1:25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</row>
    <row r="429" spans="1:25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</row>
    <row r="430" spans="1:25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</row>
    <row r="431" spans="1:25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</row>
    <row r="432" spans="1:25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</row>
    <row r="433" spans="1:25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</row>
    <row r="434" spans="1:25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</row>
    <row r="435" spans="1:2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</row>
    <row r="436" spans="1:25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</row>
    <row r="437" spans="1:25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</row>
    <row r="438" spans="1:25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</row>
    <row r="439" spans="1:25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</row>
    <row r="440" spans="1:25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</row>
    <row r="441" spans="1:25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</row>
    <row r="442" spans="1:25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</row>
    <row r="443" spans="1:25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</row>
    <row r="444" spans="1:25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</row>
    <row r="445" spans="1:2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</row>
    <row r="446" spans="1:25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</row>
    <row r="447" spans="1:25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</row>
    <row r="448" spans="1:25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</row>
    <row r="449" spans="1:25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</row>
    <row r="450" spans="1:25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</row>
    <row r="451" spans="1:25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</row>
    <row r="452" spans="1:25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</row>
    <row r="453" spans="1:25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</row>
    <row r="454" spans="1:25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</row>
    <row r="455" spans="1:2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</row>
    <row r="456" spans="1:25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</row>
    <row r="457" spans="1:25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</row>
    <row r="458" spans="1:25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</row>
    <row r="459" spans="1:25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</row>
    <row r="460" spans="1:25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</row>
    <row r="461" spans="1:25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</row>
    <row r="462" spans="1:25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</row>
    <row r="463" spans="1:25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</row>
    <row r="464" spans="1:25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</row>
    <row r="465" spans="1:2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</row>
    <row r="466" spans="1:25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</row>
    <row r="467" spans="1:25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</row>
    <row r="468" spans="1:25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</row>
    <row r="469" spans="1:25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</row>
    <row r="470" spans="1:25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</row>
    <row r="471" spans="1:25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</row>
    <row r="472" spans="1:25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</row>
    <row r="473" spans="1:25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</row>
    <row r="474" spans="1:25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</row>
    <row r="475" spans="1:2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</row>
    <row r="476" spans="1:25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</row>
    <row r="477" spans="1:25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</row>
    <row r="478" spans="1:25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</row>
    <row r="479" spans="1:25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</row>
    <row r="480" spans="1:25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</row>
    <row r="481" spans="1:25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</row>
    <row r="482" spans="1:25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</row>
    <row r="483" spans="1:25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</row>
    <row r="484" spans="1:25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</row>
    <row r="485" spans="1:2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</row>
    <row r="486" spans="1:25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</row>
    <row r="487" spans="1:25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</row>
    <row r="488" spans="1:25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</row>
    <row r="489" spans="1:25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</row>
    <row r="490" spans="1:25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</row>
    <row r="491" spans="1:25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</row>
    <row r="492" spans="1:25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</row>
    <row r="493" spans="1:25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</row>
    <row r="494" spans="1:25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</row>
    <row r="495" spans="1:2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</row>
    <row r="496" spans="1:25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</row>
    <row r="497" spans="1:25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</row>
    <row r="498" spans="1:25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</row>
    <row r="499" spans="1:25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</row>
    <row r="500" spans="1:25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</row>
    <row r="501" spans="1:25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</row>
    <row r="502" spans="1:25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</row>
    <row r="503" spans="1:25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</row>
    <row r="504" spans="1:25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</row>
    <row r="505" spans="1:2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</row>
    <row r="506" spans="1:25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</row>
    <row r="507" spans="1:25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</row>
    <row r="508" spans="1:25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</row>
    <row r="509" spans="1:25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</row>
    <row r="510" spans="1:25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</row>
    <row r="511" spans="1:25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</row>
    <row r="512" spans="1:25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</row>
    <row r="513" spans="1:25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</row>
    <row r="514" spans="1:25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</row>
    <row r="515" spans="1:2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</row>
    <row r="516" spans="1:25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</row>
    <row r="517" spans="1:25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</row>
    <row r="518" spans="1:25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</row>
    <row r="519" spans="1:25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</row>
    <row r="520" spans="1:25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</row>
    <row r="521" spans="1:25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</row>
    <row r="522" spans="1:25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</row>
    <row r="523" spans="1:25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</row>
    <row r="524" spans="1:25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</row>
    <row r="525" spans="1: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</row>
    <row r="526" spans="1:25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</row>
    <row r="527" spans="1:25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</row>
    <row r="528" spans="1:25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</row>
    <row r="529" spans="1:25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</row>
    <row r="530" spans="1:25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</row>
    <row r="531" spans="1:25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</row>
    <row r="532" spans="1:25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</row>
    <row r="533" spans="1:25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</row>
    <row r="534" spans="1:25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</row>
    <row r="535" spans="1:2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</row>
    <row r="536" spans="1:25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</row>
    <row r="537" spans="1:25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</row>
    <row r="538" spans="1:25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</row>
    <row r="539" spans="1:25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</row>
    <row r="540" spans="1:25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</row>
    <row r="541" spans="1:25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</row>
    <row r="542" spans="1:25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</row>
    <row r="543" spans="1:25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</row>
    <row r="544" spans="1:25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</row>
    <row r="545" spans="1:2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</row>
    <row r="546" spans="1:25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</row>
    <row r="547" spans="1:25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</row>
    <row r="548" spans="1:25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</row>
    <row r="549" spans="1:25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</row>
    <row r="550" spans="1:25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</row>
    <row r="551" spans="1:25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</row>
    <row r="552" spans="1:25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</row>
    <row r="553" spans="1:25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</row>
    <row r="554" spans="1:25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</row>
    <row r="555" spans="1:2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</row>
    <row r="556" spans="1:25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</row>
    <row r="557" spans="1:25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</row>
    <row r="558" spans="1:25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</row>
    <row r="559" spans="1:25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</row>
    <row r="560" spans="1:25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</row>
    <row r="561" spans="1:25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</row>
    <row r="562" spans="1:25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</row>
    <row r="563" spans="1:25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</row>
    <row r="564" spans="1:25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</row>
    <row r="565" spans="1:2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</row>
    <row r="566" spans="1:25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</row>
    <row r="567" spans="1:25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</row>
    <row r="568" spans="1:25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</row>
    <row r="569" spans="1:25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</row>
    <row r="570" spans="1:25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</row>
    <row r="571" spans="1:25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</row>
    <row r="572" spans="1:25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</row>
    <row r="573" spans="1:25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</row>
    <row r="574" spans="1:25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</row>
    <row r="575" spans="1:2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</row>
    <row r="576" spans="1:25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</row>
    <row r="577" spans="1:25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</row>
    <row r="578" spans="1:25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</row>
    <row r="579" spans="1:25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</row>
    <row r="580" spans="1:25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</row>
    <row r="581" spans="1:25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 spans="1:25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</row>
    <row r="583" spans="1:25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</row>
    <row r="584" spans="1:25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</row>
    <row r="585" spans="1:2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</row>
    <row r="586" spans="1:25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</row>
    <row r="587" spans="1:25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</row>
    <row r="588" spans="1:25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</row>
    <row r="589" spans="1:25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</row>
    <row r="590" spans="1:25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</row>
    <row r="591" spans="1:25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</row>
    <row r="592" spans="1:25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</row>
    <row r="593" spans="1:25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</row>
    <row r="594" spans="1:25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</row>
    <row r="595" spans="1:2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</row>
    <row r="596" spans="1:25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</row>
    <row r="597" spans="1:25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</row>
    <row r="598" spans="1:25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</row>
    <row r="599" spans="1:25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</row>
    <row r="600" spans="1:25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</row>
    <row r="601" spans="1:25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</row>
    <row r="602" spans="1:25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</row>
    <row r="603" spans="1:25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</row>
    <row r="604" spans="1:25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</row>
    <row r="605" spans="1:2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</row>
    <row r="606" spans="1:25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</row>
    <row r="607" spans="1:25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</row>
    <row r="608" spans="1:25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</row>
    <row r="609" spans="1:25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</row>
    <row r="610" spans="1:25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</row>
    <row r="611" spans="1:25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</row>
    <row r="612" spans="1:25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</row>
    <row r="613" spans="1:25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</row>
    <row r="614" spans="1:25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</row>
    <row r="615" spans="1:2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</row>
    <row r="616" spans="1:25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</row>
    <row r="617" spans="1:25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</row>
    <row r="618" spans="1:25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</row>
    <row r="619" spans="1:25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</row>
    <row r="620" spans="1:25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</row>
    <row r="621" spans="1:25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</row>
    <row r="622" spans="1:25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</row>
    <row r="623" spans="1:25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</row>
    <row r="624" spans="1:25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</row>
    <row r="625" spans="1: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</row>
    <row r="626" spans="1:25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</row>
    <row r="627" spans="1:25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</row>
    <row r="628" spans="1:25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</row>
    <row r="629" spans="1:25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</row>
    <row r="630" spans="1:25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</row>
    <row r="631" spans="1:25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</row>
    <row r="632" spans="1:25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</row>
    <row r="633" spans="1:25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</row>
    <row r="634" spans="1:25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</row>
    <row r="635" spans="1:2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</row>
    <row r="636" spans="1:25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</row>
    <row r="637" spans="1:25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</row>
    <row r="638" spans="1:25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</row>
    <row r="639" spans="1:25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</row>
    <row r="640" spans="1:25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</row>
    <row r="641" spans="1:25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</row>
    <row r="642" spans="1:25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</row>
    <row r="643" spans="1:25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</row>
    <row r="644" spans="1:25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</row>
    <row r="645" spans="1:2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</row>
    <row r="646" spans="1:25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</row>
    <row r="647" spans="1:25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</row>
    <row r="648" spans="1:25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</row>
    <row r="649" spans="1:25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</row>
    <row r="650" spans="1:25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</row>
    <row r="651" spans="1:25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</row>
    <row r="652" spans="1:25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</row>
    <row r="653" spans="1:25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</row>
    <row r="654" spans="1:25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</row>
    <row r="655" spans="1:2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</row>
    <row r="656" spans="1:25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</row>
    <row r="657" spans="1:25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</row>
    <row r="658" spans="1:25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</row>
    <row r="659" spans="1:25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</row>
    <row r="660" spans="1:25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</row>
    <row r="661" spans="1:25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</row>
    <row r="662" spans="1:25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</row>
    <row r="663" spans="1:25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</row>
    <row r="664" spans="1:25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</row>
    <row r="665" spans="1:2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</row>
    <row r="666" spans="1:25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</row>
    <row r="667" spans="1:25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</row>
    <row r="668" spans="1:25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</row>
    <row r="669" spans="1:25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</row>
    <row r="670" spans="1:25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</row>
    <row r="671" spans="1:25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</row>
    <row r="672" spans="1:25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</row>
    <row r="673" spans="1:25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</row>
    <row r="674" spans="1:25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</row>
    <row r="675" spans="1:2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</row>
    <row r="676" spans="1:25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</row>
    <row r="677" spans="1:25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</row>
    <row r="678" spans="1:25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</row>
    <row r="679" spans="1:25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</row>
    <row r="680" spans="1:25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</row>
    <row r="681" spans="1:25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</row>
    <row r="682" spans="1:25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</row>
    <row r="683" spans="1:25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</row>
    <row r="684" spans="1:25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</row>
    <row r="685" spans="1:2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</row>
    <row r="686" spans="1:25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</row>
    <row r="687" spans="1:25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</row>
    <row r="688" spans="1:25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</row>
    <row r="689" spans="1:25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</row>
    <row r="690" spans="1:25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</row>
    <row r="691" spans="1:25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</row>
    <row r="692" spans="1:25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</row>
    <row r="693" spans="1:25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</row>
    <row r="694" spans="1:25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</row>
    <row r="695" spans="1:2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</row>
    <row r="696" spans="1:25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</row>
    <row r="697" spans="1:25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</row>
    <row r="698" spans="1:25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</row>
    <row r="699" spans="1:25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</row>
    <row r="700" spans="1:25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</row>
    <row r="701" spans="1:25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</row>
    <row r="702" spans="1:25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</row>
    <row r="703" spans="1:25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</row>
    <row r="704" spans="1:25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</row>
    <row r="705" spans="1:2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</row>
    <row r="706" spans="1:25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</row>
    <row r="707" spans="1:25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</row>
    <row r="708" spans="1:25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</row>
    <row r="709" spans="1:25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</row>
    <row r="710" spans="1:25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</row>
    <row r="711" spans="1:25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</row>
    <row r="712" spans="1:25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</row>
    <row r="713" spans="1:25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</row>
    <row r="714" spans="1:25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</row>
    <row r="715" spans="1:2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</row>
    <row r="716" spans="1:25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</row>
    <row r="717" spans="1:25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</row>
    <row r="718" spans="1:25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</row>
    <row r="719" spans="1:25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</row>
    <row r="720" spans="1:25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</row>
    <row r="721" spans="1:25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</row>
    <row r="722" spans="1:25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</row>
    <row r="723" spans="1:25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</row>
    <row r="724" spans="1:25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</row>
    <row r="725" spans="1: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</row>
    <row r="726" spans="1:25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</row>
    <row r="727" spans="1:25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</row>
    <row r="728" spans="1:25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</row>
    <row r="729" spans="1:25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</row>
    <row r="730" spans="1:25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</row>
    <row r="731" spans="1:25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</row>
    <row r="732" spans="1:25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</row>
    <row r="733" spans="1:25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</row>
    <row r="734" spans="1:25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</row>
    <row r="735" spans="1:2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</row>
    <row r="736" spans="1:25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</row>
    <row r="737" spans="1:25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</row>
    <row r="738" spans="1:25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</row>
    <row r="739" spans="1:25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</row>
    <row r="740" spans="1:25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</row>
    <row r="741" spans="1:25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</row>
    <row r="742" spans="1:25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</row>
    <row r="743" spans="1:25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</row>
    <row r="744" spans="1:25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</row>
    <row r="745" spans="1:2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</row>
    <row r="746" spans="1:25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</row>
    <row r="747" spans="1:25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</row>
    <row r="748" spans="1:25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</row>
    <row r="749" spans="1:25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</row>
    <row r="750" spans="1:25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</row>
    <row r="751" spans="1:25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</row>
    <row r="752" spans="1:25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</row>
    <row r="753" spans="1:25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</row>
    <row r="754" spans="1:25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</row>
    <row r="755" spans="1:2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</row>
    <row r="756" spans="1:25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</row>
    <row r="757" spans="1:25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</row>
    <row r="758" spans="1:25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</row>
    <row r="759" spans="1:25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</row>
    <row r="760" spans="1:25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</row>
    <row r="761" spans="1:25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</row>
    <row r="762" spans="1:25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</row>
    <row r="763" spans="1:25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</row>
    <row r="764" spans="1:25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</row>
    <row r="765" spans="1:2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</row>
    <row r="766" spans="1:25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</row>
    <row r="767" spans="1:25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</row>
    <row r="768" spans="1:25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</row>
    <row r="769" spans="1:25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</row>
    <row r="770" spans="1:25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</row>
    <row r="771" spans="1:25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</row>
    <row r="772" spans="1:25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</row>
    <row r="773" spans="1:25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</row>
    <row r="774" spans="1:25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</row>
    <row r="775" spans="1:2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</row>
    <row r="776" spans="1:25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</row>
    <row r="777" spans="1:25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</row>
    <row r="778" spans="1:25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</row>
    <row r="779" spans="1:25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</row>
    <row r="780" spans="1:25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</row>
    <row r="781" spans="1:25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</row>
    <row r="782" spans="1:25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</row>
    <row r="783" spans="1:25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</row>
    <row r="784" spans="1:25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</row>
    <row r="785" spans="1:2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</row>
    <row r="786" spans="1:25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</row>
    <row r="787" spans="1:25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</row>
    <row r="788" spans="1:25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</row>
    <row r="789" spans="1:25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</row>
    <row r="790" spans="1:25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</row>
    <row r="791" spans="1:25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</row>
    <row r="792" spans="1:25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</row>
    <row r="793" spans="1:25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</row>
    <row r="794" spans="1:25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</row>
    <row r="795" spans="1:2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</row>
    <row r="796" spans="1:25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</row>
    <row r="797" spans="1:25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</row>
    <row r="798" spans="1:25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</row>
    <row r="799" spans="1:25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</row>
    <row r="800" spans="1:25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</row>
    <row r="801" spans="1:25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</row>
    <row r="802" spans="1:25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</row>
    <row r="803" spans="1:25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</row>
    <row r="804" spans="1:25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</row>
    <row r="805" spans="1:2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</row>
    <row r="806" spans="1:25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</row>
    <row r="807" spans="1:25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</row>
    <row r="808" spans="1:25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</row>
    <row r="809" spans="1:25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</row>
    <row r="810" spans="1:25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</row>
    <row r="811" spans="1:25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</row>
    <row r="812" spans="1:25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</row>
    <row r="813" spans="1:25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</row>
    <row r="814" spans="1:25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</row>
    <row r="815" spans="1:2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</row>
    <row r="816" spans="1:25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</row>
    <row r="817" spans="1:25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</row>
    <row r="818" spans="1:25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</row>
    <row r="819" spans="1:25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</row>
    <row r="820" spans="1:25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</row>
    <row r="821" spans="1:25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</row>
    <row r="822" spans="1:25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</row>
    <row r="823" spans="1:25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</row>
    <row r="824" spans="1:25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</row>
    <row r="825" spans="1: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</row>
    <row r="826" spans="1:25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</row>
    <row r="827" spans="1:25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</row>
    <row r="828" spans="1:25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</row>
    <row r="829" spans="1:25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</row>
    <row r="830" spans="1:25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</row>
    <row r="831" spans="1:25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</row>
    <row r="832" spans="1:25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</row>
    <row r="833" spans="1:25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</row>
    <row r="834" spans="1:25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</row>
    <row r="835" spans="1:2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</row>
    <row r="836" spans="1:25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</row>
    <row r="837" spans="1:25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</row>
    <row r="838" spans="1:25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</row>
    <row r="839" spans="1:25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</row>
    <row r="840" spans="1:25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</row>
    <row r="841" spans="1:25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</row>
    <row r="842" spans="1:25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</row>
    <row r="843" spans="1:25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</row>
    <row r="844" spans="1:25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</row>
    <row r="845" spans="1:2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</row>
    <row r="846" spans="1:25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</row>
    <row r="847" spans="1:25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</row>
    <row r="848" spans="1:25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</row>
    <row r="849" spans="1:25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</row>
    <row r="850" spans="1:25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</row>
    <row r="851" spans="1:25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</row>
    <row r="852" spans="1:25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</row>
    <row r="853" spans="1:25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</row>
    <row r="854" spans="1:25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</row>
    <row r="855" spans="1:2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</row>
    <row r="856" spans="1:25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</row>
    <row r="857" spans="1:25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</row>
    <row r="858" spans="1:25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</row>
    <row r="859" spans="1:25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</row>
    <row r="860" spans="1:25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</row>
    <row r="861" spans="1:25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</row>
    <row r="862" spans="1:25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</row>
    <row r="863" spans="1:25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</row>
    <row r="864" spans="1:25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</row>
    <row r="865" spans="1:2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</row>
    <row r="866" spans="1:25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</row>
    <row r="867" spans="1:25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</row>
    <row r="868" spans="1:25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</row>
    <row r="869" spans="1:25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</row>
    <row r="870" spans="1:25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</row>
    <row r="871" spans="1:25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</row>
    <row r="872" spans="1:25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</row>
    <row r="873" spans="1:25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</row>
    <row r="874" spans="1:25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</row>
    <row r="875" spans="1:2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</row>
    <row r="876" spans="1:25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</row>
    <row r="877" spans="1:25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</row>
    <row r="878" spans="1:25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</row>
    <row r="879" spans="1:25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</row>
    <row r="880" spans="1:25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</row>
    <row r="881" spans="1:25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</row>
    <row r="882" spans="1:25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</row>
    <row r="883" spans="1:25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</row>
    <row r="884" spans="1:25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</row>
    <row r="885" spans="1:2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</row>
    <row r="886" spans="1:25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</row>
    <row r="887" spans="1:25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</row>
    <row r="888" spans="1:25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</row>
    <row r="889" spans="1:25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</row>
    <row r="890" spans="1:25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</row>
    <row r="891" spans="1:25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</row>
    <row r="892" spans="1:25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</row>
    <row r="893" spans="1:25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</row>
    <row r="894" spans="1:25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</row>
    <row r="895" spans="1:2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</row>
    <row r="896" spans="1:25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</row>
    <row r="897" spans="1:25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</row>
    <row r="898" spans="1:25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</row>
    <row r="899" spans="1:25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</row>
    <row r="900" spans="1:25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</row>
    <row r="901" spans="1:25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</row>
    <row r="902" spans="1:25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</row>
    <row r="903" spans="1:25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</row>
    <row r="904" spans="1:25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</row>
    <row r="905" spans="1:2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</row>
    <row r="906" spans="1:25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</row>
    <row r="907" spans="1:25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</row>
    <row r="908" spans="1:25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</row>
    <row r="909" spans="1:25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</row>
    <row r="910" spans="1:25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</row>
    <row r="911" spans="1:25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</row>
    <row r="912" spans="1:25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</row>
    <row r="913" spans="1:25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</row>
    <row r="914" spans="1:25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</row>
    <row r="915" spans="1:2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</row>
    <row r="916" spans="1:25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</row>
    <row r="917" spans="1:25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</row>
    <row r="918" spans="1:25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</row>
    <row r="919" spans="1:25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</row>
    <row r="920" spans="1:25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</row>
    <row r="921" spans="1:25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</row>
    <row r="922" spans="1:25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</row>
    <row r="923" spans="1:25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</row>
    <row r="924" spans="1:25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</row>
    <row r="925" spans="1: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</row>
    <row r="926" spans="1:25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</row>
    <row r="927" spans="1:25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</row>
    <row r="928" spans="1:25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</row>
    <row r="929" spans="1:25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</row>
    <row r="930" spans="1:25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</row>
    <row r="931" spans="1:25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</row>
    <row r="932" spans="1:25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</row>
    <row r="933" spans="1:25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</row>
    <row r="934" spans="1:25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</row>
    <row r="935" spans="1:2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</row>
    <row r="936" spans="1:25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</row>
    <row r="937" spans="1:25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</row>
    <row r="938" spans="1:25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</row>
    <row r="939" spans="1:25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</row>
    <row r="940" spans="1:25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</row>
    <row r="941" spans="1:25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</row>
    <row r="942" spans="1:25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</row>
    <row r="943" spans="1:25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</row>
    <row r="944" spans="1:25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</row>
    <row r="945" spans="1:2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</row>
    <row r="946" spans="1:25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</row>
    <row r="947" spans="1:25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</row>
    <row r="948" spans="1:25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</row>
    <row r="949" spans="1:25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</row>
    <row r="950" spans="1:25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</row>
    <row r="951" spans="1:25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</row>
    <row r="952" spans="1:25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</row>
    <row r="953" spans="1:25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</row>
    <row r="954" spans="1:25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</row>
    <row r="955" spans="1:2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</row>
    <row r="956" spans="1:25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</row>
    <row r="957" spans="1:25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</row>
    <row r="958" spans="1:25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</row>
    <row r="959" spans="1:25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</row>
    <row r="960" spans="1:25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</row>
    <row r="961" spans="1:25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</row>
    <row r="962" spans="1:25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</row>
    <row r="963" spans="1:25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</row>
    <row r="964" spans="1:25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</row>
    <row r="965" spans="1:2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</row>
    <row r="966" spans="1:25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</row>
    <row r="967" spans="1:25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</row>
    <row r="968" spans="1:25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</row>
    <row r="969" spans="1:25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</row>
    <row r="970" spans="1:25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</row>
    <row r="971" spans="1:25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</row>
    <row r="972" spans="1:25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</row>
    <row r="973" spans="1:25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</row>
    <row r="974" spans="1:25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</row>
    <row r="975" spans="1:2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</row>
    <row r="976" spans="1:25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</row>
    <row r="977" spans="1:25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</row>
    <row r="978" spans="1:25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</row>
    <row r="979" spans="1:25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</row>
    <row r="980" spans="1:25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</row>
    <row r="981" spans="1:25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</row>
    <row r="982" spans="1:25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</row>
    <row r="983" spans="1:25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</row>
    <row r="984" spans="1:25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</row>
    <row r="985" spans="1:2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</row>
    <row r="986" spans="1:25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</row>
    <row r="987" spans="1:25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</row>
    <row r="988" spans="1:25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</row>
    <row r="989" spans="1:25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</row>
    <row r="990" spans="1:25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</row>
    <row r="991" spans="1:25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</row>
    <row r="992" spans="1:25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</row>
    <row r="993" spans="1:25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</row>
    <row r="994" spans="1:25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</row>
    <row r="995" spans="1:2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</row>
    <row r="996" spans="1:25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</row>
    <row r="997" spans="1:25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</row>
    <row r="998" spans="1:25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</row>
    <row r="999" spans="1:25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</row>
    <row r="1000" spans="1:25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</row>
  </sheetData>
  <mergeCells count="3">
    <mergeCell ref="A9:A11"/>
    <mergeCell ref="A13:A14"/>
    <mergeCell ref="A33:A5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Adenuga-Taiwo, O.</dc:creator>
  <cp:keywords/>
  <dc:description/>
  <cp:lastModifiedBy/>
  <cp:revision/>
  <dcterms:created xsi:type="dcterms:W3CDTF">2018-05-21T10:20:15Z</dcterms:created>
  <dcterms:modified xsi:type="dcterms:W3CDTF">2026-10-19T13:24:40Z</dcterms:modified>
  <cp:category/>
  <cp:contentStatus/>
</cp:coreProperties>
</file>